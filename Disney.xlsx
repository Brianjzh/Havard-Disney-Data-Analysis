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Zhang/Documents/Year 3/Term 1/Comm 363 Market analysis/"/>
    </mc:Choice>
  </mc:AlternateContent>
  <xr:revisionPtr revIDLastSave="0" documentId="13_ncr:1_{D89F4DBB-94A2-0E40-88FE-0C12AB05B785}" xr6:coauthVersionLast="36" xr6:coauthVersionMax="36" xr10:uidLastSave="{00000000-0000-0000-0000-000000000000}"/>
  <bookViews>
    <workbookView xWindow="480" yWindow="960" windowWidth="25040" windowHeight="14500" xr2:uid="{44174A48-4D6F-1C4E-9D5D-19117DC36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U120" i="1" l="1"/>
  <c r="AU119" i="1"/>
  <c r="AY119" i="1" s="1"/>
  <c r="AU114" i="1"/>
  <c r="AZ33" i="1"/>
  <c r="AZ32" i="1"/>
  <c r="BB9" i="1"/>
  <c r="BB8" i="1"/>
  <c r="AZ57" i="1"/>
  <c r="AZ56" i="1"/>
  <c r="AZ85" i="1"/>
  <c r="AZ84" i="1"/>
  <c r="AV94" i="1"/>
  <c r="AZ94" i="1" s="1"/>
  <c r="AV93" i="1"/>
  <c r="AU85" i="1"/>
  <c r="AU84" i="1"/>
  <c r="AZ93" i="1"/>
  <c r="AQ89" i="1"/>
  <c r="AV88" i="1"/>
  <c r="AQ88" i="1"/>
  <c r="AQ87" i="1"/>
  <c r="AQ86" i="1"/>
  <c r="AQ85" i="1"/>
  <c r="AQ84" i="1"/>
  <c r="AQ83" i="1"/>
  <c r="AV90" i="1" s="1"/>
  <c r="AQ82" i="1"/>
  <c r="AQ81" i="1"/>
  <c r="AQ80" i="1"/>
  <c r="AQ79" i="1"/>
  <c r="AQ78" i="1"/>
  <c r="AV91" i="1" s="1"/>
  <c r="AE66" i="1"/>
  <c r="AV66" i="1"/>
  <c r="AZ66" i="1" s="1"/>
  <c r="AQ73" i="1"/>
  <c r="AQ72" i="1"/>
  <c r="AQ71" i="1"/>
  <c r="AQ70" i="1"/>
  <c r="AQ69" i="1"/>
  <c r="AQ68" i="1"/>
  <c r="AQ67" i="1"/>
  <c r="AQ66" i="1"/>
  <c r="AV65" i="1"/>
  <c r="AZ65" i="1" s="1"/>
  <c r="AQ65" i="1"/>
  <c r="AQ64" i="1"/>
  <c r="AQ63" i="1"/>
  <c r="AQ62" i="1"/>
  <c r="AV63" i="1" s="1"/>
  <c r="AQ61" i="1"/>
  <c r="AV60" i="1"/>
  <c r="AQ60" i="1"/>
  <c r="AQ59" i="1"/>
  <c r="AQ58" i="1"/>
  <c r="AV62" i="1" s="1"/>
  <c r="AQ57" i="1"/>
  <c r="AQ56" i="1"/>
  <c r="AQ55" i="1"/>
  <c r="AQ54" i="1"/>
  <c r="AQ53" i="1"/>
  <c r="AQ52" i="1"/>
  <c r="AQ51" i="1"/>
  <c r="AQ50" i="1"/>
  <c r="AV59" i="1" s="1"/>
  <c r="AV36" i="1"/>
  <c r="AU33" i="1"/>
  <c r="AV42" i="1"/>
  <c r="AV41" i="1"/>
  <c r="AQ41" i="1"/>
  <c r="AQ40" i="1"/>
  <c r="AQ39" i="1"/>
  <c r="AQ38" i="1"/>
  <c r="AQ37" i="1"/>
  <c r="AQ36" i="1"/>
  <c r="AQ35" i="1"/>
  <c r="AV38" i="1" s="1"/>
  <c r="AV47" i="1" s="1"/>
  <c r="AQ34" i="1"/>
  <c r="AQ33" i="1"/>
  <c r="AQ32" i="1"/>
  <c r="AQ31" i="1"/>
  <c r="AQ30" i="1"/>
  <c r="AQ29" i="1"/>
  <c r="AQ28" i="1"/>
  <c r="AQ27" i="1"/>
  <c r="AV35" i="1" s="1"/>
  <c r="AQ26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V18" i="1"/>
  <c r="AV17" i="1"/>
  <c r="AV12" i="1"/>
  <c r="AP122" i="1"/>
  <c r="AP121" i="1"/>
  <c r="AP120" i="1"/>
  <c r="AP119" i="1"/>
  <c r="AP118" i="1"/>
  <c r="AP117" i="1"/>
  <c r="AU116" i="1" s="1"/>
  <c r="AP116" i="1"/>
  <c r="AP115" i="1"/>
  <c r="AP114" i="1"/>
  <c r="AP113" i="1"/>
  <c r="AP112" i="1"/>
  <c r="AP111" i="1"/>
  <c r="AU113" i="1" s="1"/>
  <c r="AP110" i="1"/>
  <c r="AP109" i="1"/>
  <c r="AP108" i="1"/>
  <c r="AP107" i="1"/>
  <c r="AP106" i="1"/>
  <c r="AP105" i="1"/>
  <c r="AP104" i="1"/>
  <c r="AD109" i="1"/>
  <c r="AE119" i="1"/>
  <c r="AE118" i="1"/>
  <c r="AE113" i="1"/>
  <c r="Z113" i="1"/>
  <c r="Z114" i="1"/>
  <c r="Z116" i="1"/>
  <c r="Z117" i="1"/>
  <c r="Z118" i="1"/>
  <c r="Z119" i="1"/>
  <c r="Z120" i="1"/>
  <c r="Z121" i="1"/>
  <c r="Z110" i="1"/>
  <c r="Z104" i="1"/>
  <c r="Z105" i="1"/>
  <c r="Z106" i="1"/>
  <c r="Z107" i="1"/>
  <c r="Z108" i="1"/>
  <c r="Z103" i="1"/>
  <c r="AE112" i="1" s="1"/>
  <c r="AE94" i="1"/>
  <c r="AE93" i="1"/>
  <c r="AE88" i="1"/>
  <c r="AD84" i="1"/>
  <c r="Z79" i="1"/>
  <c r="Z80" i="1"/>
  <c r="Z81" i="1"/>
  <c r="Z82" i="1"/>
  <c r="Z83" i="1"/>
  <c r="Z84" i="1"/>
  <c r="Z85" i="1"/>
  <c r="Z86" i="1"/>
  <c r="Z87" i="1"/>
  <c r="Z88" i="1"/>
  <c r="Z89" i="1"/>
  <c r="Z78" i="1"/>
  <c r="AE65" i="1"/>
  <c r="AE6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50" i="1"/>
  <c r="AE41" i="1"/>
  <c r="AE42" i="1"/>
  <c r="AE36" i="1"/>
  <c r="AI42" i="1" s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26" i="1"/>
  <c r="AE18" i="1"/>
  <c r="AE17" i="1"/>
  <c r="AE12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3" i="1"/>
  <c r="S30" i="1"/>
  <c r="R30" i="1"/>
  <c r="Q30" i="1"/>
  <c r="S28" i="1"/>
  <c r="R28" i="1"/>
  <c r="Q28" i="1"/>
  <c r="P28" i="1"/>
  <c r="R27" i="1"/>
  <c r="Q27" i="1"/>
  <c r="P27" i="1"/>
  <c r="R26" i="1"/>
  <c r="Q26" i="1"/>
  <c r="P26" i="1"/>
  <c r="Q25" i="1"/>
  <c r="P25" i="1"/>
  <c r="S13" i="1"/>
  <c r="S27" i="1" s="1"/>
  <c r="S17" i="1"/>
  <c r="S15" i="1"/>
  <c r="S12" i="1"/>
  <c r="S26" i="1" s="1"/>
  <c r="I15" i="1"/>
  <c r="I16" i="1" s="1"/>
  <c r="I13" i="1"/>
  <c r="I14" i="1" s="1"/>
  <c r="I9" i="1"/>
  <c r="I10" i="1" s="1"/>
  <c r="I7" i="1"/>
  <c r="I8" i="1" s="1"/>
  <c r="L8" i="1" s="1"/>
  <c r="M8" i="1" s="1"/>
  <c r="I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2" i="1"/>
  <c r="I2" i="1"/>
  <c r="AU125" i="1" l="1"/>
  <c r="AY116" i="1"/>
  <c r="AV39" i="1"/>
  <c r="AV46" i="1" s="1"/>
  <c r="AV87" i="1"/>
  <c r="AZ90" i="1" s="1"/>
  <c r="AY120" i="1"/>
  <c r="AZ18" i="1"/>
  <c r="AV14" i="1"/>
  <c r="AU117" i="1"/>
  <c r="L9" i="1"/>
  <c r="M9" i="1" s="1"/>
  <c r="AE87" i="1"/>
  <c r="AI118" i="1"/>
  <c r="AV15" i="1"/>
  <c r="AV99" i="1"/>
  <c r="AV70" i="1"/>
  <c r="AZ63" i="1"/>
  <c r="AV71" i="1"/>
  <c r="AZ62" i="1"/>
  <c r="BA41" i="1"/>
  <c r="BA42" i="1"/>
  <c r="AE62" i="1"/>
  <c r="AE71" i="1" s="1"/>
  <c r="AE116" i="1"/>
  <c r="AE15" i="1"/>
  <c r="AE22" i="1" s="1"/>
  <c r="AE35" i="1"/>
  <c r="AE38" i="1"/>
  <c r="AE47" i="1" s="1"/>
  <c r="AE90" i="1"/>
  <c r="AE99" i="1" s="1"/>
  <c r="AI93" i="1"/>
  <c r="AV11" i="1"/>
  <c r="AZ15" i="1" s="1"/>
  <c r="AE115" i="1"/>
  <c r="AI115" i="1" s="1"/>
  <c r="AI94" i="1"/>
  <c r="AZ17" i="1"/>
  <c r="AV22" i="1"/>
  <c r="AE91" i="1"/>
  <c r="AE98" i="1" s="1"/>
  <c r="L3" i="1"/>
  <c r="M3" i="1" s="1"/>
  <c r="L18" i="1"/>
  <c r="M18" i="1" s="1"/>
  <c r="AI17" i="1"/>
  <c r="AI41" i="1"/>
  <c r="L19" i="1"/>
  <c r="M19" i="1" s="1"/>
  <c r="AE14" i="1"/>
  <c r="AE23" i="1" s="1"/>
  <c r="I4" i="1"/>
  <c r="AI18" i="1"/>
  <c r="AI66" i="1"/>
  <c r="AE63" i="1"/>
  <c r="AE70" i="1" s="1"/>
  <c r="AI119" i="1"/>
  <c r="AI116" i="1"/>
  <c r="AI90" i="1"/>
  <c r="AI38" i="1"/>
  <c r="AE59" i="1"/>
  <c r="L4" i="1"/>
  <c r="M4" i="1" s="1"/>
  <c r="AE11" i="1"/>
  <c r="AI15" i="1" s="1"/>
  <c r="L13" i="1"/>
  <c r="M13" i="1" s="1"/>
  <c r="AE39" i="1"/>
  <c r="AI65" i="1"/>
  <c r="I19" i="1"/>
  <c r="L5" i="1" s="1"/>
  <c r="M5" i="1" s="1"/>
  <c r="L14" i="1"/>
  <c r="M14" i="1" s="1"/>
  <c r="I21" i="1"/>
  <c r="AU124" i="1" l="1"/>
  <c r="AY117" i="1"/>
  <c r="AI62" i="1"/>
  <c r="AV98" i="1"/>
  <c r="AZ91" i="1"/>
  <c r="BA39" i="1"/>
  <c r="BA38" i="1"/>
  <c r="AI63" i="1"/>
  <c r="AV23" i="1"/>
  <c r="AZ14" i="1"/>
  <c r="AI91" i="1"/>
  <c r="I20" i="1"/>
  <c r="L10" i="1" s="1"/>
  <c r="M10" i="1" s="1"/>
  <c r="I22" i="1"/>
  <c r="L20" i="1" s="1"/>
  <c r="M20" i="1" s="1"/>
  <c r="L15" i="1"/>
  <c r="M15" i="1" s="1"/>
  <c r="AI14" i="1"/>
  <c r="AE46" i="1"/>
  <c r="AI39" i="1"/>
</calcChain>
</file>

<file path=xl/sharedStrings.xml><?xml version="1.0" encoding="utf-8"?>
<sst xmlns="http://schemas.openxmlformats.org/spreadsheetml/2006/main" count="453" uniqueCount="114">
  <si>
    <t>Production budget</t>
  </si>
  <si>
    <t>Global BO</t>
  </si>
  <si>
    <t>Sum of all production budget</t>
  </si>
  <si>
    <t>Surplus</t>
  </si>
  <si>
    <t>Sum of all global BO</t>
  </si>
  <si>
    <t>Top 10</t>
  </si>
  <si>
    <t>% Production Cost</t>
  </si>
  <si>
    <t>%Global BO</t>
  </si>
  <si>
    <t>% Surplus</t>
  </si>
  <si>
    <t>Top 20</t>
  </si>
  <si>
    <t>Bottom 10</t>
  </si>
  <si>
    <t>Bottom 20</t>
  </si>
  <si>
    <t>Production costs</t>
  </si>
  <si>
    <t>%Surplus</t>
  </si>
  <si>
    <t>Sum of all surplus</t>
  </si>
  <si>
    <t>millions USD</t>
  </si>
  <si>
    <t>Millions USD</t>
  </si>
  <si>
    <t>Percentages</t>
  </si>
  <si>
    <t>Disney</t>
  </si>
  <si>
    <t>WB</t>
  </si>
  <si>
    <t>Universal</t>
  </si>
  <si>
    <t>Paramount</t>
  </si>
  <si>
    <t>Lionsgate</t>
  </si>
  <si>
    <t>Warner Bros.</t>
  </si>
  <si>
    <t>Fox</t>
  </si>
  <si>
    <t>Warner Bros</t>
  </si>
  <si>
    <t>Lions Gate</t>
  </si>
  <si>
    <t>Song</t>
  </si>
  <si>
    <t xml:space="preserve">Open road </t>
  </si>
  <si>
    <t>Weinstein</t>
  </si>
  <si>
    <t>Focus Features</t>
  </si>
  <si>
    <t>Relativity</t>
  </si>
  <si>
    <t>Top 10 Count</t>
  </si>
  <si>
    <t>Warner Bro</t>
  </si>
  <si>
    <t>Top 20 Count</t>
  </si>
  <si>
    <t>Open road</t>
  </si>
  <si>
    <t>Focus feature</t>
  </si>
  <si>
    <t>relatively</t>
  </si>
  <si>
    <t># of films</t>
  </si>
  <si>
    <t>?</t>
  </si>
  <si>
    <t>% top 10</t>
  </si>
  <si>
    <t>% top 20</t>
  </si>
  <si>
    <t>% Bot 10</t>
  </si>
  <si>
    <t>%Bot 20</t>
  </si>
  <si>
    <t>Disney Live Action</t>
  </si>
  <si>
    <t>Budget</t>
  </si>
  <si>
    <t>Total Box Office</t>
  </si>
  <si>
    <t>Low budget High returns</t>
  </si>
  <si>
    <t>High budget High returns</t>
  </si>
  <si>
    <t>Low budget no returns</t>
  </si>
  <si>
    <t>When putting a large budget high returns at</t>
  </si>
  <si>
    <t>When putting low budget high returns at</t>
  </si>
  <si>
    <t>Pixar</t>
  </si>
  <si>
    <t>Total BO</t>
  </si>
  <si>
    <t>Sum of Budget</t>
  </si>
  <si>
    <t>Sum of Low budget</t>
  </si>
  <si>
    <t>Sum of high budget</t>
  </si>
  <si>
    <t>High bugdet % of total</t>
  </si>
  <si>
    <t>Low budget % of total</t>
  </si>
  <si>
    <t>% of total budget</t>
  </si>
  <si>
    <t>Low</t>
  </si>
  <si>
    <t>High</t>
  </si>
  <si>
    <t>Rev</t>
  </si>
  <si>
    <t>Large budget high returns</t>
  </si>
  <si>
    <t>Low budget high returns</t>
  </si>
  <si>
    <t>&lt;150</t>
  </si>
  <si>
    <t>&gt;150</t>
  </si>
  <si>
    <t>&lt;100</t>
  </si>
  <si>
    <t>High budget % total</t>
  </si>
  <si>
    <t>Low Budget % total</t>
  </si>
  <si>
    <t xml:space="preserve">High </t>
  </si>
  <si>
    <t>% rate of return</t>
  </si>
  <si>
    <t>Note:</t>
  </si>
  <si>
    <t>Animation costs more now compared to before</t>
  </si>
  <si>
    <t xml:space="preserve">2008+ </t>
  </si>
  <si>
    <t>Disney Animation</t>
  </si>
  <si>
    <t>50% above and below</t>
  </si>
  <si>
    <t>&gt;127</t>
  </si>
  <si>
    <t>Marvel</t>
  </si>
  <si>
    <t>BO</t>
  </si>
  <si>
    <t>Profit</t>
  </si>
  <si>
    <t>Orofit</t>
  </si>
  <si>
    <t>Sum of Profit</t>
  </si>
  <si>
    <t>Sum of Profit when high budget</t>
  </si>
  <si>
    <t>Sum of Profit when low budget</t>
  </si>
  <si>
    <t>Top 8 Profit vs Budget</t>
  </si>
  <si>
    <t>High budget high Profit</t>
  </si>
  <si>
    <t>High budget low Profit</t>
  </si>
  <si>
    <t>Low budget High Profit</t>
  </si>
  <si>
    <t>Low budget low Profit</t>
  </si>
  <si>
    <t>Top 12 Profit vs Budget</t>
  </si>
  <si>
    <t>same prices</t>
  </si>
  <si>
    <t>Top 7 Profit vs Budget</t>
  </si>
  <si>
    <t>&gt;170</t>
  </si>
  <si>
    <t>Lucas Films</t>
  </si>
  <si>
    <t>Na</t>
  </si>
  <si>
    <t>Top 10 Profit vs Budget</t>
  </si>
  <si>
    <t>52% above and below</t>
  </si>
  <si>
    <t>&lt;11</t>
  </si>
  <si>
    <t>&gt;18</t>
  </si>
  <si>
    <t>Note: Not sure if this counts for inflation</t>
  </si>
  <si>
    <t>High budget Low returns</t>
  </si>
  <si>
    <t>50% and above</t>
  </si>
  <si>
    <t>Averages</t>
  </si>
  <si>
    <t>&gt;Average</t>
  </si>
  <si>
    <t>&lt;Average</t>
  </si>
  <si>
    <t>budget of 170 therefore I classified them all as high priced</t>
  </si>
  <si>
    <t>Note: This should be Top 6, however 3 films have a…</t>
  </si>
  <si>
    <t>Also even if we were to just take budgets of 100+ that's still an …</t>
  </si>
  <si>
    <t>100% high rev rate with only 1 outlier that is the 2nd item on budget</t>
  </si>
  <si>
    <t>Top 50%</t>
  </si>
  <si>
    <t>Average</t>
  </si>
  <si>
    <t>% of High budget Films</t>
  </si>
  <si>
    <t>% of Low budget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</si>
</sst>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/>
      <top/>
      <bottom style="thick">
        <color rgb="FFFF000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0" borderId="0" xfId="0" applyFill="1"/>
    <xf numFmtId="0" fontId="2" fillId="0" borderId="0" xfId="0" applyFont="1"/>
    <xf numFmtId="44" fontId="0" fillId="0" borderId="0" xfId="1" applyFont="1"/>
    <xf numFmtId="44" fontId="0" fillId="0" borderId="0" xfId="1" applyFont="1" applyFill="1"/>
    <xf numFmtId="9" fontId="0" fillId="0" borderId="0" xfId="2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ont="1" applyFill="1"/>
    <xf numFmtId="0" fontId="0" fillId="0" borderId="1" xfId="0" applyFont="1" applyFill="1" applyBorder="1"/>
    <xf numFmtId="9" fontId="0" fillId="0" borderId="2" xfId="2" applyFont="1" applyFill="1" applyBorder="1"/>
    <xf numFmtId="9" fontId="0" fillId="0" borderId="3" xfId="2" applyFont="1" applyFill="1" applyBorder="1"/>
    <xf numFmtId="0" fontId="0" fillId="0" borderId="4" xfId="0" applyFont="1" applyFill="1" applyBorder="1"/>
    <xf numFmtId="9" fontId="0" fillId="0" borderId="0" xfId="2" applyFont="1" applyFill="1" applyBorder="1"/>
    <xf numFmtId="9" fontId="0" fillId="0" borderId="5" xfId="2" applyFont="1" applyFill="1" applyBorder="1"/>
    <xf numFmtId="0" fontId="0" fillId="0" borderId="6" xfId="0" applyBorder="1"/>
    <xf numFmtId="0" fontId="0" fillId="0" borderId="7" xfId="0" applyBorder="1"/>
    <xf numFmtId="9" fontId="0" fillId="0" borderId="8" xfId="2" applyFont="1" applyBorder="1"/>
    <xf numFmtId="9" fontId="0" fillId="0" borderId="9" xfId="2" applyFont="1" applyBorder="1"/>
    <xf numFmtId="9" fontId="0" fillId="0" borderId="10" xfId="2" applyFont="1" applyBorder="1"/>
    <xf numFmtId="9" fontId="0" fillId="0" borderId="11" xfId="2" applyFont="1" applyBorder="1"/>
    <xf numFmtId="44" fontId="0" fillId="4" borderId="0" xfId="1" applyFont="1" applyFill="1"/>
    <xf numFmtId="9" fontId="0" fillId="0" borderId="0" xfId="0" applyNumberFormat="1"/>
    <xf numFmtId="44" fontId="0" fillId="0" borderId="0" xfId="0" applyNumberFormat="1"/>
    <xf numFmtId="0" fontId="0" fillId="0" borderId="13" xfId="0" applyBorder="1"/>
    <xf numFmtId="0" fontId="0" fillId="0" borderId="0" xfId="0" quotePrefix="1"/>
    <xf numFmtId="164" fontId="0" fillId="0" borderId="0" xfId="0" applyNumberFormat="1"/>
    <xf numFmtId="0" fontId="3" fillId="2" borderId="12" xfId="0" applyFont="1" applyFill="1" applyBorder="1"/>
    <xf numFmtId="0" fontId="3" fillId="2" borderId="14" xfId="0" applyFont="1" applyFill="1" applyBorder="1"/>
    <xf numFmtId="9" fontId="2" fillId="0" borderId="0" xfId="0" applyNumberFormat="1" applyFont="1"/>
    <xf numFmtId="9" fontId="0" fillId="3" borderId="0" xfId="2" applyFont="1" applyFill="1"/>
    <xf numFmtId="0" fontId="2" fillId="3" borderId="0" xfId="0" applyFont="1" applyFill="1"/>
    <xf numFmtId="9" fontId="2" fillId="3" borderId="0" xfId="0" applyNumberFormat="1" applyFont="1" applyFill="1"/>
    <xf numFmtId="164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3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F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74A0-7E8A-5943-8BA8-A59B7CDE8421}">
  <dimension ref="A1:BB176"/>
  <sheetViews>
    <sheetView tabSelected="1" topLeftCell="W87" zoomScale="66" workbookViewId="0">
      <selection activeCell="A94" sqref="A94:G94"/>
    </sheetView>
  </sheetViews>
  <sheetFormatPr baseColWidth="10" defaultRowHeight="16"/>
  <cols>
    <col min="8" max="8" width="25.1640625" bestFit="1" customWidth="1"/>
    <col min="9" max="9" width="11.5" bestFit="1" customWidth="1"/>
    <col min="11" max="11" width="15.83203125" bestFit="1" customWidth="1"/>
    <col min="38" max="38" width="13.83203125" bestFit="1" customWidth="1"/>
    <col min="39" max="39" width="14.5" bestFit="1" customWidth="1"/>
  </cols>
  <sheetData>
    <row r="1" spans="1:54" ht="27" thickBot="1">
      <c r="A1" t="s">
        <v>15</v>
      </c>
      <c r="C1" t="s">
        <v>0</v>
      </c>
      <c r="E1" t="s">
        <v>1</v>
      </c>
      <c r="G1" t="s">
        <v>3</v>
      </c>
      <c r="I1" t="s">
        <v>16</v>
      </c>
      <c r="L1" t="s">
        <v>16</v>
      </c>
      <c r="U1" s="27"/>
      <c r="W1" t="s">
        <v>44</v>
      </c>
      <c r="AB1" t="s">
        <v>102</v>
      </c>
      <c r="AL1" s="30" t="s">
        <v>110</v>
      </c>
      <c r="AM1" s="31" t="s">
        <v>103</v>
      </c>
      <c r="AN1" t="s">
        <v>44</v>
      </c>
    </row>
    <row r="2" spans="1:54">
      <c r="A2" s="1" t="s">
        <v>18</v>
      </c>
      <c r="C2" s="4">
        <v>250</v>
      </c>
      <c r="E2" s="4">
        <v>1405</v>
      </c>
      <c r="G2" s="4">
        <f>E2-C2</f>
        <v>1155</v>
      </c>
      <c r="H2" t="s">
        <v>2</v>
      </c>
      <c r="I2" s="4">
        <f>SUM(C2:C94)</f>
        <v>6360</v>
      </c>
      <c r="K2" t="s">
        <v>5</v>
      </c>
      <c r="M2" t="s">
        <v>17</v>
      </c>
      <c r="O2" t="s">
        <v>32</v>
      </c>
      <c r="R2" t="s">
        <v>34</v>
      </c>
      <c r="U2" s="27"/>
      <c r="X2" t="s">
        <v>45</v>
      </c>
      <c r="Y2" t="s">
        <v>46</v>
      </c>
      <c r="Z2" t="s">
        <v>81</v>
      </c>
      <c r="AB2" t="s">
        <v>5</v>
      </c>
      <c r="AL2" s="27"/>
      <c r="AO2" t="s">
        <v>45</v>
      </c>
      <c r="AP2" t="s">
        <v>46</v>
      </c>
      <c r="AQ2" t="s">
        <v>81</v>
      </c>
      <c r="AS2" t="s">
        <v>103</v>
      </c>
    </row>
    <row r="3" spans="1:54">
      <c r="A3" t="s">
        <v>23</v>
      </c>
      <c r="C3" s="4">
        <v>250</v>
      </c>
      <c r="E3" s="4">
        <v>955</v>
      </c>
      <c r="G3" s="4">
        <f t="shared" ref="G3:G66" si="0">E3-C3</f>
        <v>705</v>
      </c>
      <c r="H3" t="s">
        <v>4</v>
      </c>
      <c r="I3" s="4">
        <f>SUM(E2:E94)</f>
        <v>23405</v>
      </c>
      <c r="K3" t="s">
        <v>6</v>
      </c>
      <c r="L3">
        <f>I7/I2</f>
        <v>0.24669811320754717</v>
      </c>
      <c r="M3" s="36">
        <f>L3</f>
        <v>0.24669811320754717</v>
      </c>
      <c r="O3" s="1" t="s">
        <v>18</v>
      </c>
      <c r="P3" s="1">
        <v>2</v>
      </c>
      <c r="R3" s="1" t="s">
        <v>18</v>
      </c>
      <c r="S3" s="1">
        <v>5</v>
      </c>
      <c r="U3" s="27"/>
      <c r="X3" s="24">
        <v>200</v>
      </c>
      <c r="Y3" s="24">
        <v>1025</v>
      </c>
      <c r="Z3" s="4">
        <f>Y3-X3</f>
        <v>825</v>
      </c>
      <c r="AB3" t="s">
        <v>48</v>
      </c>
      <c r="AE3">
        <v>6</v>
      </c>
      <c r="AL3" s="27"/>
      <c r="AO3" s="4">
        <v>200</v>
      </c>
      <c r="AP3" s="24">
        <v>1025</v>
      </c>
      <c r="AQ3" s="4">
        <f>AP3-AO3</f>
        <v>825</v>
      </c>
      <c r="AS3" t="s">
        <v>48</v>
      </c>
      <c r="AV3">
        <v>5</v>
      </c>
    </row>
    <row r="4" spans="1:54">
      <c r="A4" s="1" t="s">
        <v>18</v>
      </c>
      <c r="C4" s="4">
        <v>190</v>
      </c>
      <c r="E4" s="4">
        <v>209</v>
      </c>
      <c r="G4" s="4">
        <f t="shared" si="0"/>
        <v>19</v>
      </c>
      <c r="H4" t="s">
        <v>14</v>
      </c>
      <c r="I4" s="4">
        <f>SUM(G2:G94)</f>
        <v>17045</v>
      </c>
      <c r="K4" t="s">
        <v>7</v>
      </c>
      <c r="L4">
        <f>I13/I3</f>
        <v>0.43742790002136295</v>
      </c>
      <c r="M4" s="36">
        <f t="shared" ref="M4:M20" si="1">L4</f>
        <v>0.43742790002136295</v>
      </c>
      <c r="O4" s="7" t="s">
        <v>33</v>
      </c>
      <c r="P4" s="7">
        <v>1</v>
      </c>
      <c r="R4" s="7" t="s">
        <v>25</v>
      </c>
      <c r="S4" s="7">
        <v>3</v>
      </c>
      <c r="U4" s="27"/>
      <c r="X4" s="24">
        <v>200</v>
      </c>
      <c r="Y4" s="24">
        <v>337</v>
      </c>
      <c r="Z4" s="4">
        <f t="shared" ref="Z4:Z22" si="2">Y4-X4</f>
        <v>137</v>
      </c>
      <c r="AB4" t="s">
        <v>101</v>
      </c>
      <c r="AE4">
        <v>4</v>
      </c>
      <c r="AL4" s="27"/>
      <c r="AO4" s="4">
        <v>200</v>
      </c>
      <c r="AP4" s="4">
        <v>337</v>
      </c>
      <c r="AQ4" s="4">
        <f t="shared" ref="AQ4:AQ22" si="3">AP4-AO4</f>
        <v>137</v>
      </c>
      <c r="AS4" t="s">
        <v>101</v>
      </c>
      <c r="AV4">
        <v>5</v>
      </c>
    </row>
    <row r="5" spans="1:54">
      <c r="A5" t="s">
        <v>20</v>
      </c>
      <c r="C5" s="4">
        <v>190</v>
      </c>
      <c r="E5" s="4">
        <v>1515</v>
      </c>
      <c r="G5" s="4">
        <f t="shared" si="0"/>
        <v>1325</v>
      </c>
      <c r="I5" s="4"/>
      <c r="K5" t="s">
        <v>8</v>
      </c>
      <c r="L5">
        <f>I19/I4</f>
        <v>0.50859489586388973</v>
      </c>
      <c r="M5" s="36">
        <f t="shared" si="1"/>
        <v>0.50859489586388973</v>
      </c>
      <c r="O5" s="9" t="s">
        <v>20</v>
      </c>
      <c r="P5" s="9">
        <v>4</v>
      </c>
      <c r="R5" s="9" t="s">
        <v>20</v>
      </c>
      <c r="S5" s="9">
        <v>4</v>
      </c>
      <c r="U5" s="27"/>
      <c r="X5" s="4">
        <v>150</v>
      </c>
      <c r="Y5" s="4">
        <v>215</v>
      </c>
      <c r="Z5" s="4">
        <f t="shared" si="2"/>
        <v>65</v>
      </c>
      <c r="AB5" t="s">
        <v>47</v>
      </c>
      <c r="AE5">
        <v>4</v>
      </c>
      <c r="AL5" s="27"/>
      <c r="AO5" s="4">
        <v>150</v>
      </c>
      <c r="AP5" s="4">
        <v>215</v>
      </c>
      <c r="AQ5" s="4">
        <f t="shared" si="3"/>
        <v>65</v>
      </c>
      <c r="AS5" t="s">
        <v>47</v>
      </c>
      <c r="AV5">
        <v>1</v>
      </c>
    </row>
    <row r="6" spans="1:54">
      <c r="A6" t="s">
        <v>19</v>
      </c>
      <c r="C6" s="4">
        <v>176</v>
      </c>
      <c r="E6" s="4">
        <v>184</v>
      </c>
      <c r="G6" s="4">
        <f t="shared" si="0"/>
        <v>8</v>
      </c>
      <c r="H6" t="s">
        <v>12</v>
      </c>
      <c r="I6" s="4"/>
      <c r="M6" s="36"/>
      <c r="O6" s="8" t="s">
        <v>21</v>
      </c>
      <c r="P6" s="8">
        <v>2</v>
      </c>
      <c r="R6" s="8" t="s">
        <v>21</v>
      </c>
      <c r="S6" s="8">
        <v>3</v>
      </c>
      <c r="U6" s="27"/>
      <c r="X6" s="4">
        <v>35</v>
      </c>
      <c r="Y6" s="4">
        <v>61</v>
      </c>
      <c r="Z6" s="4">
        <f t="shared" si="2"/>
        <v>26</v>
      </c>
      <c r="AB6" t="s">
        <v>49</v>
      </c>
      <c r="AE6">
        <v>6</v>
      </c>
      <c r="AL6" s="27"/>
      <c r="AO6" s="4">
        <v>35</v>
      </c>
      <c r="AP6" s="4">
        <v>61</v>
      </c>
      <c r="AQ6" s="4">
        <f t="shared" si="3"/>
        <v>26</v>
      </c>
      <c r="AS6" t="s">
        <v>49</v>
      </c>
      <c r="AV6">
        <v>9</v>
      </c>
    </row>
    <row r="7" spans="1:54">
      <c r="A7" s="1" t="s">
        <v>18</v>
      </c>
      <c r="C7" s="4">
        <v>175</v>
      </c>
      <c r="E7" s="4">
        <v>856</v>
      </c>
      <c r="G7" s="4">
        <f t="shared" si="0"/>
        <v>681</v>
      </c>
      <c r="H7" t="s">
        <v>5</v>
      </c>
      <c r="I7" s="4">
        <f>C3+C2+C5+C7+C9+C11+C12+C19+C28+C55</f>
        <v>1569</v>
      </c>
      <c r="K7" t="s">
        <v>9</v>
      </c>
      <c r="M7" s="36"/>
      <c r="O7" s="2" t="s">
        <v>22</v>
      </c>
      <c r="P7" s="2">
        <v>1</v>
      </c>
      <c r="R7" s="2" t="s">
        <v>22</v>
      </c>
      <c r="S7" s="2">
        <v>1</v>
      </c>
      <c r="U7" s="27"/>
      <c r="X7" s="24">
        <v>170</v>
      </c>
      <c r="Y7" s="24">
        <v>400</v>
      </c>
      <c r="Z7" s="4">
        <f t="shared" si="2"/>
        <v>230</v>
      </c>
      <c r="AL7" s="27"/>
      <c r="AO7" s="4">
        <v>170</v>
      </c>
      <c r="AP7" s="24">
        <v>400</v>
      </c>
      <c r="AQ7" s="4">
        <f t="shared" si="3"/>
        <v>230</v>
      </c>
    </row>
    <row r="8" spans="1:54">
      <c r="A8" s="1" t="s">
        <v>18</v>
      </c>
      <c r="C8" s="4">
        <v>165</v>
      </c>
      <c r="E8" s="4">
        <v>658</v>
      </c>
      <c r="G8" s="4">
        <f t="shared" si="0"/>
        <v>493</v>
      </c>
      <c r="H8" t="s">
        <v>9</v>
      </c>
      <c r="I8" s="4">
        <f>I7+C8+C10+C17+C21+C23+C26+C37+C41+C50+C65</f>
        <v>2512</v>
      </c>
      <c r="K8" t="s">
        <v>6</v>
      </c>
      <c r="L8">
        <f>I8/I2</f>
        <v>0.39496855345911952</v>
      </c>
      <c r="M8" s="36">
        <f t="shared" si="1"/>
        <v>0.39496855345911952</v>
      </c>
      <c r="O8" s="2"/>
      <c r="P8" s="2"/>
      <c r="R8" s="10" t="s">
        <v>24</v>
      </c>
      <c r="S8" s="10">
        <v>4</v>
      </c>
      <c r="U8" s="27"/>
      <c r="X8" s="24">
        <v>250</v>
      </c>
      <c r="Y8" s="24">
        <v>1046</v>
      </c>
      <c r="Z8" s="4">
        <f t="shared" si="2"/>
        <v>796</v>
      </c>
      <c r="AB8" t="s">
        <v>50</v>
      </c>
      <c r="AF8" s="25">
        <v>0.6</v>
      </c>
      <c r="AG8" t="s">
        <v>66</v>
      </c>
      <c r="AL8" s="27"/>
      <c r="AO8" s="4">
        <v>250</v>
      </c>
      <c r="AP8" s="24">
        <v>1046</v>
      </c>
      <c r="AQ8" s="4">
        <f t="shared" si="3"/>
        <v>796</v>
      </c>
      <c r="AS8" t="s">
        <v>50</v>
      </c>
      <c r="AW8" s="25">
        <v>0.5</v>
      </c>
      <c r="AX8" t="s">
        <v>104</v>
      </c>
      <c r="AZ8" s="3" t="s">
        <v>112</v>
      </c>
      <c r="BB8" s="6">
        <f>0.5</f>
        <v>0.5</v>
      </c>
    </row>
    <row r="9" spans="1:54">
      <c r="A9" t="s">
        <v>21</v>
      </c>
      <c r="C9" s="4">
        <v>165</v>
      </c>
      <c r="E9" s="4">
        <v>673</v>
      </c>
      <c r="G9" s="4">
        <f t="shared" si="0"/>
        <v>508</v>
      </c>
      <c r="H9" t="s">
        <v>10</v>
      </c>
      <c r="I9" s="4">
        <f>C30+C40+C44+C51+C54+C63+C66+C77+C88+C92</f>
        <v>394</v>
      </c>
      <c r="K9" t="s">
        <v>7</v>
      </c>
      <c r="L9">
        <f>I14/I3</f>
        <v>0.63533433027130959</v>
      </c>
      <c r="M9" s="36">
        <f t="shared" si="1"/>
        <v>0.63533433027130959</v>
      </c>
      <c r="U9" s="27"/>
      <c r="X9" s="5">
        <v>45</v>
      </c>
      <c r="Y9" s="24">
        <v>166</v>
      </c>
      <c r="Z9" s="4">
        <f t="shared" si="2"/>
        <v>121</v>
      </c>
      <c r="AB9" t="s">
        <v>51</v>
      </c>
      <c r="AF9" s="25">
        <v>0.4</v>
      </c>
      <c r="AG9" t="s">
        <v>67</v>
      </c>
      <c r="AL9" s="27"/>
      <c r="AO9" s="4">
        <v>45</v>
      </c>
      <c r="AP9" s="4">
        <v>166</v>
      </c>
      <c r="AQ9" s="4">
        <f t="shared" si="3"/>
        <v>121</v>
      </c>
      <c r="AS9" t="s">
        <v>51</v>
      </c>
      <c r="AW9" s="25">
        <v>0.1</v>
      </c>
      <c r="AX9" t="s">
        <v>105</v>
      </c>
      <c r="AZ9" s="3" t="s">
        <v>113</v>
      </c>
      <c r="BB9" s="6">
        <f>0.5</f>
        <v>0.5</v>
      </c>
    </row>
    <row r="10" spans="1:54">
      <c r="A10" t="s">
        <v>21</v>
      </c>
      <c r="C10" s="4">
        <v>155</v>
      </c>
      <c r="E10" s="4">
        <v>441</v>
      </c>
      <c r="G10" s="4">
        <f t="shared" si="0"/>
        <v>286</v>
      </c>
      <c r="H10" t="s">
        <v>11</v>
      </c>
      <c r="I10" s="4">
        <f>I9+C6+C38+C57+C58+C72+C78+C80+C82+C84+C86</f>
        <v>845</v>
      </c>
      <c r="K10" t="s">
        <v>8</v>
      </c>
      <c r="L10">
        <f>I20/I4</f>
        <v>0.72502200058668231</v>
      </c>
      <c r="M10" s="36">
        <f t="shared" si="1"/>
        <v>0.72502200058668231</v>
      </c>
      <c r="O10" t="s">
        <v>10</v>
      </c>
      <c r="R10" t="s">
        <v>11</v>
      </c>
      <c r="U10" s="27"/>
      <c r="X10" s="4">
        <v>250</v>
      </c>
      <c r="Y10" s="4">
        <v>284</v>
      </c>
      <c r="Z10" s="4">
        <f t="shared" si="2"/>
        <v>34</v>
      </c>
      <c r="AL10" s="27"/>
      <c r="AO10" s="4">
        <v>250</v>
      </c>
      <c r="AP10" s="4">
        <v>284</v>
      </c>
      <c r="AQ10" s="4">
        <f t="shared" si="3"/>
        <v>34</v>
      </c>
    </row>
    <row r="11" spans="1:54">
      <c r="A11" t="s">
        <v>21</v>
      </c>
      <c r="C11" s="4">
        <v>150</v>
      </c>
      <c r="E11" s="4">
        <v>682</v>
      </c>
      <c r="G11" s="4">
        <f t="shared" si="0"/>
        <v>532</v>
      </c>
      <c r="I11" s="4"/>
      <c r="M11" s="36"/>
      <c r="O11" s="1" t="s">
        <v>18</v>
      </c>
      <c r="P11" s="1">
        <v>0</v>
      </c>
      <c r="R11" s="1" t="s">
        <v>18</v>
      </c>
      <c r="S11" s="1">
        <v>0</v>
      </c>
      <c r="U11" s="27"/>
      <c r="X11" s="4">
        <v>40</v>
      </c>
      <c r="Y11" s="4">
        <v>52</v>
      </c>
      <c r="Z11" s="4">
        <f t="shared" si="2"/>
        <v>12</v>
      </c>
      <c r="AB11" t="s">
        <v>82</v>
      </c>
      <c r="AE11" s="26">
        <f>SUM(Z3:Z22)</f>
        <v>3992</v>
      </c>
      <c r="AL11" s="27"/>
      <c r="AO11" s="4">
        <v>40</v>
      </c>
      <c r="AP11" s="4">
        <v>52</v>
      </c>
      <c r="AQ11" s="4">
        <f t="shared" si="3"/>
        <v>12</v>
      </c>
      <c r="AS11" t="s">
        <v>82</v>
      </c>
      <c r="AV11" s="26">
        <f>SUM(AQ3:AQ22)</f>
        <v>3992</v>
      </c>
    </row>
    <row r="12" spans="1:54">
      <c r="A12" t="s">
        <v>20</v>
      </c>
      <c r="C12" s="4">
        <v>150</v>
      </c>
      <c r="E12" s="4">
        <v>1669</v>
      </c>
      <c r="G12" s="4">
        <f t="shared" si="0"/>
        <v>1519</v>
      </c>
      <c r="H12" t="s">
        <v>1</v>
      </c>
      <c r="I12" s="4"/>
      <c r="K12" t="s">
        <v>10</v>
      </c>
      <c r="M12" s="36"/>
      <c r="O12" s="7" t="s">
        <v>25</v>
      </c>
      <c r="P12" s="7">
        <v>2</v>
      </c>
      <c r="R12" s="7" t="s">
        <v>25</v>
      </c>
      <c r="S12" s="7">
        <f>P12+4</f>
        <v>6</v>
      </c>
      <c r="U12" s="27"/>
      <c r="X12" s="24">
        <v>215</v>
      </c>
      <c r="Y12" s="24">
        <v>493</v>
      </c>
      <c r="Z12" s="4">
        <f t="shared" si="2"/>
        <v>278</v>
      </c>
      <c r="AB12" t="s">
        <v>54</v>
      </c>
      <c r="AE12" s="26">
        <f>SUM(X3:X22)</f>
        <v>2456</v>
      </c>
      <c r="AL12" s="27"/>
      <c r="AO12" s="4">
        <v>215</v>
      </c>
      <c r="AP12" s="24">
        <v>493</v>
      </c>
      <c r="AQ12" s="4">
        <f t="shared" si="3"/>
        <v>278</v>
      </c>
      <c r="AS12" t="s">
        <v>54</v>
      </c>
      <c r="AV12" s="26">
        <f>SUM(AO3:AO22)</f>
        <v>2456</v>
      </c>
    </row>
    <row r="13" spans="1:54">
      <c r="C13" s="4">
        <v>150</v>
      </c>
      <c r="E13" s="4">
        <v>376</v>
      </c>
      <c r="G13" s="4">
        <f t="shared" si="0"/>
        <v>226</v>
      </c>
      <c r="H13" t="s">
        <v>5</v>
      </c>
      <c r="I13" s="4">
        <f>E3+E2+E5+E7+E9+E11+E12+E19+E28+E55</f>
        <v>10238</v>
      </c>
      <c r="K13" s="3" t="s">
        <v>6</v>
      </c>
      <c r="L13">
        <f>I9/I2</f>
        <v>6.1949685534591195E-2</v>
      </c>
      <c r="M13" s="36">
        <f t="shared" si="1"/>
        <v>6.1949685534591195E-2</v>
      </c>
      <c r="O13" s="9" t="s">
        <v>20</v>
      </c>
      <c r="P13" s="9">
        <v>1</v>
      </c>
      <c r="R13" s="9" t="s">
        <v>20</v>
      </c>
      <c r="S13" s="9">
        <f>P13</f>
        <v>1</v>
      </c>
      <c r="U13" s="27"/>
      <c r="X13" s="4">
        <v>215</v>
      </c>
      <c r="Y13" s="4">
        <v>260</v>
      </c>
      <c r="Z13" s="4">
        <f t="shared" si="2"/>
        <v>45</v>
      </c>
      <c r="AG13" t="s">
        <v>62</v>
      </c>
      <c r="AL13" s="27"/>
      <c r="AO13" s="4">
        <v>215</v>
      </c>
      <c r="AP13" s="4">
        <v>260</v>
      </c>
      <c r="AQ13" s="4">
        <f t="shared" si="3"/>
        <v>45</v>
      </c>
      <c r="AX13" t="s">
        <v>62</v>
      </c>
    </row>
    <row r="14" spans="1:54">
      <c r="C14" s="4">
        <v>140</v>
      </c>
      <c r="E14" s="4">
        <v>268</v>
      </c>
      <c r="G14" s="4">
        <f t="shared" si="0"/>
        <v>128</v>
      </c>
      <c r="H14" t="s">
        <v>9</v>
      </c>
      <c r="I14" s="4">
        <f>I13+E8+E10+E17+E21+E23+E26+E37+E41+E50+E65</f>
        <v>14870</v>
      </c>
      <c r="K14" s="3" t="s">
        <v>7</v>
      </c>
      <c r="L14">
        <f>I15/I3</f>
        <v>5.3834650715659047E-3</v>
      </c>
      <c r="M14" s="36">
        <f t="shared" si="1"/>
        <v>5.3834650715659047E-3</v>
      </c>
      <c r="O14" s="8" t="s">
        <v>21</v>
      </c>
      <c r="P14" s="8">
        <v>1</v>
      </c>
      <c r="R14" s="8" t="s">
        <v>21</v>
      </c>
      <c r="S14" s="8">
        <v>1</v>
      </c>
      <c r="U14" s="27"/>
      <c r="X14" s="24">
        <v>35</v>
      </c>
      <c r="Y14" s="24">
        <v>118</v>
      </c>
      <c r="Z14" s="4">
        <f t="shared" si="2"/>
        <v>83</v>
      </c>
      <c r="AB14" t="s">
        <v>83</v>
      </c>
      <c r="AE14" s="26">
        <f>Z3+Z4+Z7+Z8+Z12+Z17+Z22+Z10+Z13</f>
        <v>2943</v>
      </c>
      <c r="AG14" t="s">
        <v>57</v>
      </c>
      <c r="AI14" s="6">
        <f>AE14/AE11</f>
        <v>0.73722444889779559</v>
      </c>
      <c r="AL14" s="27"/>
      <c r="AO14" s="4">
        <v>35</v>
      </c>
      <c r="AP14" s="4">
        <v>118</v>
      </c>
      <c r="AQ14" s="4">
        <f t="shared" si="3"/>
        <v>83</v>
      </c>
      <c r="AS14" t="s">
        <v>83</v>
      </c>
      <c r="AV14" s="26">
        <f>AQ3+AQ4+AQ5+AQ7+AQ8+AQ10+AQ12+AQ13+AQ17+AQ22</f>
        <v>3008</v>
      </c>
      <c r="AX14" t="s">
        <v>57</v>
      </c>
      <c r="AZ14" s="6">
        <f>AV14/AV11</f>
        <v>0.75350701402805609</v>
      </c>
    </row>
    <row r="15" spans="1:54">
      <c r="C15" s="4">
        <v>135</v>
      </c>
      <c r="E15" s="4">
        <v>386</v>
      </c>
      <c r="G15" s="4">
        <f t="shared" si="0"/>
        <v>251</v>
      </c>
      <c r="H15" t="s">
        <v>10</v>
      </c>
      <c r="I15" s="4">
        <f>E30+E40+E44+E51+E54+E63+E66+E77+E88+E92</f>
        <v>126</v>
      </c>
      <c r="K15" s="3" t="s">
        <v>8</v>
      </c>
      <c r="L15">
        <f>I21/I4</f>
        <v>-1.5723085948958639E-2</v>
      </c>
      <c r="M15" s="36">
        <f t="shared" si="1"/>
        <v>-1.5723085948958639E-2</v>
      </c>
      <c r="O15" s="11" t="s">
        <v>22</v>
      </c>
      <c r="P15" s="11">
        <v>1</v>
      </c>
      <c r="Q15" s="2"/>
      <c r="R15" s="2" t="s">
        <v>22</v>
      </c>
      <c r="S15" s="2">
        <f>P15+3</f>
        <v>4</v>
      </c>
      <c r="U15" s="27"/>
      <c r="X15" s="4">
        <v>50</v>
      </c>
      <c r="Y15" s="4">
        <v>80</v>
      </c>
      <c r="Z15" s="4">
        <f t="shared" si="2"/>
        <v>30</v>
      </c>
      <c r="AB15" t="s">
        <v>84</v>
      </c>
      <c r="AE15" s="26">
        <f>Z6+Z9+Z11+Z14+Z15+Z16+Z18+Z19+Z20+Z21</f>
        <v>984</v>
      </c>
      <c r="AG15" t="s">
        <v>58</v>
      </c>
      <c r="AI15" s="6">
        <f>AE15/AE11</f>
        <v>0.24649298597194388</v>
      </c>
      <c r="AL15" s="27"/>
      <c r="AO15" s="4">
        <v>50</v>
      </c>
      <c r="AP15" s="4">
        <v>80</v>
      </c>
      <c r="AQ15" s="4">
        <f t="shared" si="3"/>
        <v>30</v>
      </c>
      <c r="AS15" t="s">
        <v>84</v>
      </c>
      <c r="AV15" s="26">
        <f>AQ6+AQ9+AQ11+AQ14+AQ15+AQ16+AQ18+AQ19+AQ20+AQ21</f>
        <v>984</v>
      </c>
      <c r="AX15" t="s">
        <v>58</v>
      </c>
      <c r="AZ15" s="6">
        <f>AV15/AV11</f>
        <v>0.24649298597194388</v>
      </c>
    </row>
    <row r="16" spans="1:54">
      <c r="C16" s="4">
        <v>132</v>
      </c>
      <c r="E16" s="4">
        <v>374</v>
      </c>
      <c r="G16" s="4">
        <f t="shared" si="0"/>
        <v>242</v>
      </c>
      <c r="H16" t="s">
        <v>11</v>
      </c>
      <c r="I16" s="4">
        <f>I15+E6+E38+E57+E58+E72+E78+E80+E82+E84+E86</f>
        <v>559</v>
      </c>
      <c r="M16" s="36"/>
      <c r="O16" s="10" t="s">
        <v>24</v>
      </c>
      <c r="P16" s="10">
        <v>1</v>
      </c>
      <c r="R16" s="10" t="s">
        <v>24</v>
      </c>
      <c r="S16" s="10">
        <v>1</v>
      </c>
      <c r="U16" s="27"/>
      <c r="X16" s="4">
        <v>25</v>
      </c>
      <c r="Y16" s="4">
        <v>40</v>
      </c>
      <c r="Z16" s="4">
        <f t="shared" si="2"/>
        <v>15</v>
      </c>
      <c r="AL16" s="27"/>
      <c r="AO16" s="4">
        <v>25</v>
      </c>
      <c r="AP16" s="4">
        <v>40</v>
      </c>
      <c r="AQ16" s="4">
        <f t="shared" si="3"/>
        <v>15</v>
      </c>
    </row>
    <row r="17" spans="1:53">
      <c r="A17" s="1" t="s">
        <v>18</v>
      </c>
      <c r="C17" s="4">
        <v>130</v>
      </c>
      <c r="E17" s="4">
        <v>519</v>
      </c>
      <c r="G17" s="4">
        <f t="shared" si="0"/>
        <v>389</v>
      </c>
      <c r="I17" s="4"/>
      <c r="K17" s="3" t="s">
        <v>11</v>
      </c>
      <c r="M17" s="36"/>
      <c r="O17" t="s">
        <v>27</v>
      </c>
      <c r="P17">
        <v>1</v>
      </c>
      <c r="R17" t="s">
        <v>27</v>
      </c>
      <c r="S17">
        <f>P17+2</f>
        <v>3</v>
      </c>
      <c r="U17" s="27"/>
      <c r="X17" s="4">
        <v>180</v>
      </c>
      <c r="Y17" s="24">
        <v>758</v>
      </c>
      <c r="Z17" s="4">
        <f t="shared" si="2"/>
        <v>578</v>
      </c>
      <c r="AB17" t="s">
        <v>56</v>
      </c>
      <c r="AE17" s="26">
        <f>X3+X4+X5+X8+X7+X10+X12+X13+X17+X22</f>
        <v>2020</v>
      </c>
      <c r="AG17" t="s">
        <v>59</v>
      </c>
      <c r="AI17" s="6">
        <f>AE17/AE12</f>
        <v>0.82247557003257332</v>
      </c>
      <c r="AJ17" t="s">
        <v>61</v>
      </c>
      <c r="AL17" s="27"/>
      <c r="AO17" s="4">
        <v>180</v>
      </c>
      <c r="AP17" s="24">
        <v>758</v>
      </c>
      <c r="AQ17" s="4">
        <f t="shared" si="3"/>
        <v>578</v>
      </c>
      <c r="AS17" t="s">
        <v>56</v>
      </c>
      <c r="AV17" s="26">
        <f>AO3+AO4+AO5+AO8+AO7+AO10+AO12+AO13+AO17+AO22</f>
        <v>2020</v>
      </c>
      <c r="AX17" t="s">
        <v>59</v>
      </c>
      <c r="AZ17" s="6">
        <f>AV17/AV12</f>
        <v>0.82247557003257332</v>
      </c>
      <c r="BA17" t="s">
        <v>61</v>
      </c>
    </row>
    <row r="18" spans="1:53">
      <c r="C18" s="4">
        <v>127</v>
      </c>
      <c r="E18" s="4">
        <v>360</v>
      </c>
      <c r="G18" s="4">
        <f t="shared" si="0"/>
        <v>233</v>
      </c>
      <c r="H18" t="s">
        <v>13</v>
      </c>
      <c r="I18" s="4"/>
      <c r="K18" s="3" t="s">
        <v>6</v>
      </c>
      <c r="L18">
        <f>I10/I2</f>
        <v>0.13286163522012578</v>
      </c>
      <c r="M18" s="36">
        <f t="shared" si="1"/>
        <v>0.13286163522012578</v>
      </c>
      <c r="O18" t="s">
        <v>35</v>
      </c>
      <c r="P18">
        <v>1</v>
      </c>
      <c r="R18" t="s">
        <v>35</v>
      </c>
      <c r="S18">
        <v>1</v>
      </c>
      <c r="U18" s="27"/>
      <c r="X18" s="4">
        <v>28</v>
      </c>
      <c r="Y18" s="4">
        <v>101</v>
      </c>
      <c r="Z18" s="4">
        <f t="shared" si="2"/>
        <v>73</v>
      </c>
      <c r="AB18" t="s">
        <v>55</v>
      </c>
      <c r="AE18" s="26">
        <f>X6+X9+X11+X14+X15+X16+X18+X19+X20+X21</f>
        <v>436</v>
      </c>
      <c r="AG18" t="s">
        <v>59</v>
      </c>
      <c r="AI18" s="6">
        <f>AE18/AE12</f>
        <v>0.17752442996742671</v>
      </c>
      <c r="AJ18" t="s">
        <v>60</v>
      </c>
      <c r="AL18" s="27"/>
      <c r="AO18" s="4">
        <v>28</v>
      </c>
      <c r="AP18" s="4">
        <v>101</v>
      </c>
      <c r="AQ18" s="4">
        <f t="shared" si="3"/>
        <v>73</v>
      </c>
      <c r="AS18" t="s">
        <v>55</v>
      </c>
      <c r="AV18" s="26">
        <f>AO6+AO9+AO11+AO14+AO15+AO16+AO18+AO19+AO20+AO21</f>
        <v>436</v>
      </c>
      <c r="AX18" t="s">
        <v>59</v>
      </c>
      <c r="AZ18" s="6">
        <f>AV18/AV12</f>
        <v>0.17752442996742671</v>
      </c>
      <c r="BA18" t="s">
        <v>60</v>
      </c>
    </row>
    <row r="19" spans="1:53">
      <c r="A19" t="s">
        <v>22</v>
      </c>
      <c r="C19" s="4">
        <v>125</v>
      </c>
      <c r="E19" s="4">
        <v>755</v>
      </c>
      <c r="G19" s="4">
        <f t="shared" si="0"/>
        <v>630</v>
      </c>
      <c r="H19" t="s">
        <v>5</v>
      </c>
      <c r="I19" s="4">
        <f>G3+G2+G5+G7+G9+G11+G12+G19+G28+G55</f>
        <v>8669</v>
      </c>
      <c r="K19" s="3" t="s">
        <v>7</v>
      </c>
      <c r="L19">
        <f>I16/I3</f>
        <v>2.3883785515915402E-2</v>
      </c>
      <c r="M19" s="36">
        <f t="shared" si="1"/>
        <v>2.3883785515915402E-2</v>
      </c>
      <c r="O19" t="s">
        <v>29</v>
      </c>
      <c r="P19">
        <v>1</v>
      </c>
      <c r="R19" t="s">
        <v>29</v>
      </c>
      <c r="S19">
        <v>1</v>
      </c>
      <c r="U19" s="27"/>
      <c r="X19" s="24">
        <v>50</v>
      </c>
      <c r="Y19" s="24">
        <v>213</v>
      </c>
      <c r="Z19" s="4">
        <f t="shared" si="2"/>
        <v>163</v>
      </c>
      <c r="AL19" s="27"/>
      <c r="AO19" s="4">
        <v>50</v>
      </c>
      <c r="AP19" s="4">
        <v>213</v>
      </c>
      <c r="AQ19" s="4">
        <f t="shared" si="3"/>
        <v>163</v>
      </c>
    </row>
    <row r="20" spans="1:53">
      <c r="C20" s="4">
        <v>120</v>
      </c>
      <c r="E20" s="4">
        <v>168</v>
      </c>
      <c r="G20" s="4">
        <f t="shared" si="0"/>
        <v>48</v>
      </c>
      <c r="H20" t="s">
        <v>9</v>
      </c>
      <c r="I20" s="4">
        <f>I19+G8+G10+G17+G21+G23+G26+G37+G41+G50+G65</f>
        <v>12358</v>
      </c>
      <c r="K20" s="3" t="s">
        <v>8</v>
      </c>
      <c r="L20">
        <f>I22/I4</f>
        <v>-1.6779114109709593E-2</v>
      </c>
      <c r="M20" s="36">
        <f t="shared" si="1"/>
        <v>-1.6779114109709593E-2</v>
      </c>
      <c r="O20" t="s">
        <v>36</v>
      </c>
      <c r="P20">
        <v>1</v>
      </c>
      <c r="R20" t="s">
        <v>36</v>
      </c>
      <c r="S20">
        <v>1</v>
      </c>
      <c r="U20" s="27"/>
      <c r="X20" s="4">
        <v>28</v>
      </c>
      <c r="Y20" s="4">
        <v>46</v>
      </c>
      <c r="Z20" s="4">
        <f t="shared" si="2"/>
        <v>18</v>
      </c>
      <c r="AL20" s="27"/>
      <c r="AO20" s="4">
        <v>28</v>
      </c>
      <c r="AP20" s="4">
        <v>46</v>
      </c>
      <c r="AQ20" s="4">
        <f t="shared" si="3"/>
        <v>18</v>
      </c>
    </row>
    <row r="21" spans="1:53">
      <c r="A21" t="s">
        <v>23</v>
      </c>
      <c r="C21" s="4">
        <v>110</v>
      </c>
      <c r="E21" s="4">
        <v>474</v>
      </c>
      <c r="G21" s="4">
        <f t="shared" si="0"/>
        <v>364</v>
      </c>
      <c r="H21" t="s">
        <v>10</v>
      </c>
      <c r="I21" s="4">
        <f>G30+G40+G44+G51+G54+G63+G66+G77+G88+G92</f>
        <v>-268</v>
      </c>
      <c r="R21" t="s">
        <v>37</v>
      </c>
      <c r="S21">
        <v>1</v>
      </c>
      <c r="U21" s="27"/>
      <c r="X21" s="24">
        <v>100</v>
      </c>
      <c r="Y21" s="24">
        <v>543</v>
      </c>
      <c r="Z21" s="4">
        <f t="shared" si="2"/>
        <v>443</v>
      </c>
      <c r="AD21" t="s">
        <v>71</v>
      </c>
      <c r="AL21" s="27"/>
      <c r="AO21" s="4">
        <v>100</v>
      </c>
      <c r="AP21" s="24">
        <v>543</v>
      </c>
      <c r="AQ21" s="4">
        <f t="shared" si="3"/>
        <v>443</v>
      </c>
      <c r="AU21" t="s">
        <v>71</v>
      </c>
    </row>
    <row r="22" spans="1:53">
      <c r="C22" s="4">
        <v>110</v>
      </c>
      <c r="E22" s="4">
        <v>297</v>
      </c>
      <c r="G22" s="4">
        <f t="shared" si="0"/>
        <v>187</v>
      </c>
      <c r="H22" t="s">
        <v>11</v>
      </c>
      <c r="I22" s="4">
        <f>I21+G6+G38+G57+G58+G72+G78+G80+G82+G84+G86</f>
        <v>-286</v>
      </c>
      <c r="U22" s="27"/>
      <c r="X22" s="4">
        <v>190</v>
      </c>
      <c r="Y22" s="4">
        <v>210</v>
      </c>
      <c r="Z22" s="4">
        <f t="shared" si="2"/>
        <v>20</v>
      </c>
      <c r="AD22" s="7" t="s">
        <v>60</v>
      </c>
      <c r="AE22" s="33">
        <f>AE15/AE18</f>
        <v>2.2568807339449539</v>
      </c>
      <c r="AL22" s="27"/>
      <c r="AO22" s="4">
        <v>190</v>
      </c>
      <c r="AP22" s="4">
        <v>210</v>
      </c>
      <c r="AQ22" s="4">
        <f t="shared" si="3"/>
        <v>20</v>
      </c>
      <c r="AU22" s="7" t="s">
        <v>60</v>
      </c>
      <c r="AV22" s="33">
        <f>AV15/AV18</f>
        <v>2.2568807339449539</v>
      </c>
    </row>
    <row r="23" spans="1:53" ht="17" thickBot="1">
      <c r="A23" s="1" t="s">
        <v>18</v>
      </c>
      <c r="C23" s="4">
        <v>100</v>
      </c>
      <c r="E23" s="4">
        <v>543</v>
      </c>
      <c r="G23" s="4">
        <f t="shared" si="0"/>
        <v>443</v>
      </c>
      <c r="U23" s="27"/>
      <c r="AD23" t="s">
        <v>61</v>
      </c>
      <c r="AE23" s="6">
        <f>AE14/AE17</f>
        <v>1.4569306930693069</v>
      </c>
      <c r="AL23" s="27"/>
      <c r="AU23" t="s">
        <v>61</v>
      </c>
      <c r="AV23" s="6">
        <f>AV14/AV17</f>
        <v>1.4891089108910891</v>
      </c>
    </row>
    <row r="24" spans="1:53" ht="17" thickTop="1">
      <c r="C24" s="4">
        <v>95</v>
      </c>
      <c r="E24" s="4">
        <v>114</v>
      </c>
      <c r="G24" s="4">
        <f t="shared" si="0"/>
        <v>19</v>
      </c>
      <c r="N24" t="s">
        <v>38</v>
      </c>
      <c r="P24" s="18" t="s">
        <v>40</v>
      </c>
      <c r="Q24" s="19" t="s">
        <v>41</v>
      </c>
      <c r="R24" s="15" t="s">
        <v>42</v>
      </c>
      <c r="S24" s="12" t="s">
        <v>43</v>
      </c>
      <c r="U24" s="27"/>
      <c r="W24" t="s">
        <v>52</v>
      </c>
      <c r="AL24" s="27"/>
      <c r="AN24" t="s">
        <v>52</v>
      </c>
    </row>
    <row r="25" spans="1:53">
      <c r="C25" s="4">
        <v>88</v>
      </c>
      <c r="E25" s="4">
        <v>244</v>
      </c>
      <c r="G25" s="4">
        <f t="shared" si="0"/>
        <v>156</v>
      </c>
      <c r="N25" s="1" t="s">
        <v>18</v>
      </c>
      <c r="O25">
        <v>10</v>
      </c>
      <c r="P25" s="20">
        <f>P3/O25</f>
        <v>0.2</v>
      </c>
      <c r="Q25" s="21">
        <f>S3/O25</f>
        <v>0.5</v>
      </c>
      <c r="R25" s="16">
        <v>0</v>
      </c>
      <c r="S25" s="13">
        <v>0</v>
      </c>
      <c r="U25" s="27"/>
      <c r="X25" t="s">
        <v>45</v>
      </c>
      <c r="Y25" t="s">
        <v>53</v>
      </c>
      <c r="Z25" t="s">
        <v>80</v>
      </c>
      <c r="AB25" t="s">
        <v>76</v>
      </c>
      <c r="AL25" s="27"/>
      <c r="AO25" t="s">
        <v>45</v>
      </c>
      <c r="AP25" t="s">
        <v>53</v>
      </c>
      <c r="AQ25" t="s">
        <v>80</v>
      </c>
    </row>
    <row r="26" spans="1:53">
      <c r="A26" t="s">
        <v>24</v>
      </c>
      <c r="C26" s="4">
        <v>81</v>
      </c>
      <c r="E26" s="4">
        <v>414</v>
      </c>
      <c r="G26" s="4">
        <f t="shared" si="0"/>
        <v>333</v>
      </c>
      <c r="N26" s="7" t="s">
        <v>25</v>
      </c>
      <c r="O26">
        <v>25</v>
      </c>
      <c r="P26" s="20">
        <f>P4/O26</f>
        <v>0.04</v>
      </c>
      <c r="Q26" s="21">
        <f>S4/O26</f>
        <v>0.12</v>
      </c>
      <c r="R26" s="16">
        <f>P12/O26</f>
        <v>0.08</v>
      </c>
      <c r="S26" s="13">
        <f>S12/O26</f>
        <v>0.24</v>
      </c>
      <c r="U26" s="27"/>
      <c r="X26" s="4">
        <v>30</v>
      </c>
      <c r="Y26" s="4">
        <v>362</v>
      </c>
      <c r="Z26" s="4">
        <f>Y26-X26</f>
        <v>332</v>
      </c>
      <c r="AB26" t="s">
        <v>85</v>
      </c>
      <c r="AL26" s="27"/>
      <c r="AO26" s="4">
        <v>30</v>
      </c>
      <c r="AP26" s="4">
        <v>362</v>
      </c>
      <c r="AQ26" s="4">
        <f>AP26-AO26</f>
        <v>332</v>
      </c>
      <c r="AS26" t="s">
        <v>111</v>
      </c>
    </row>
    <row r="27" spans="1:53">
      <c r="C27" s="4">
        <v>75</v>
      </c>
      <c r="E27" s="4">
        <v>110</v>
      </c>
      <c r="G27" s="4">
        <f t="shared" si="0"/>
        <v>35</v>
      </c>
      <c r="N27" s="9" t="s">
        <v>20</v>
      </c>
      <c r="O27">
        <v>20</v>
      </c>
      <c r="P27" s="20">
        <f>P5/O27</f>
        <v>0.2</v>
      </c>
      <c r="Q27" s="21">
        <f>S5/O27</f>
        <v>0.2</v>
      </c>
      <c r="R27" s="16">
        <f>P13/O27</f>
        <v>0.05</v>
      </c>
      <c r="S27" s="13">
        <f>S13/O27</f>
        <v>0.05</v>
      </c>
      <c r="U27" s="27"/>
      <c r="X27" s="4">
        <v>120</v>
      </c>
      <c r="Y27" s="4">
        <v>354</v>
      </c>
      <c r="Z27" s="4">
        <f t="shared" ref="Z27:Z41" si="4">Y27-X27</f>
        <v>234</v>
      </c>
      <c r="AB27" t="s">
        <v>86</v>
      </c>
      <c r="AD27">
        <v>4</v>
      </c>
      <c r="AL27" s="27"/>
      <c r="AO27" s="4">
        <v>120</v>
      </c>
      <c r="AP27" s="4">
        <v>354</v>
      </c>
      <c r="AQ27" s="4">
        <f t="shared" ref="AQ27:AQ41" si="5">AP27-AO27</f>
        <v>234</v>
      </c>
      <c r="AS27" t="s">
        <v>86</v>
      </c>
      <c r="AU27">
        <v>5</v>
      </c>
    </row>
    <row r="28" spans="1:53">
      <c r="A28" t="s">
        <v>20</v>
      </c>
      <c r="C28" s="4">
        <v>74</v>
      </c>
      <c r="E28" s="4">
        <v>1157</v>
      </c>
      <c r="G28" s="4">
        <f t="shared" si="0"/>
        <v>1083</v>
      </c>
      <c r="N28" s="8" t="s">
        <v>21</v>
      </c>
      <c r="O28">
        <v>10</v>
      </c>
      <c r="P28" s="20">
        <f>P6/O28</f>
        <v>0.2</v>
      </c>
      <c r="Q28" s="21">
        <f>S6/O28</f>
        <v>0.3</v>
      </c>
      <c r="R28" s="16">
        <f>P14/O28</f>
        <v>0.1</v>
      </c>
      <c r="S28" s="13">
        <f>S14/O28</f>
        <v>0.1</v>
      </c>
      <c r="U28" s="27"/>
      <c r="X28" s="4">
        <v>90</v>
      </c>
      <c r="Y28" s="4">
        <v>485</v>
      </c>
      <c r="Z28" s="4">
        <f t="shared" si="4"/>
        <v>395</v>
      </c>
      <c r="AB28" t="s">
        <v>87</v>
      </c>
      <c r="AD28">
        <v>4</v>
      </c>
      <c r="AL28" s="27"/>
      <c r="AO28" s="4">
        <v>90</v>
      </c>
      <c r="AP28" s="4">
        <v>485</v>
      </c>
      <c r="AQ28" s="4">
        <f t="shared" si="5"/>
        <v>395</v>
      </c>
      <c r="AS28" t="s">
        <v>87</v>
      </c>
      <c r="AU28">
        <v>4</v>
      </c>
    </row>
    <row r="29" spans="1:53">
      <c r="C29" s="4">
        <v>74</v>
      </c>
      <c r="E29" s="4">
        <v>323</v>
      </c>
      <c r="G29" s="4">
        <f t="shared" si="0"/>
        <v>249</v>
      </c>
      <c r="N29" s="2" t="s">
        <v>22</v>
      </c>
      <c r="O29" t="s">
        <v>39</v>
      </c>
      <c r="P29" s="20"/>
      <c r="Q29" s="21"/>
      <c r="R29" s="16"/>
      <c r="S29" s="13"/>
      <c r="U29" s="27"/>
      <c r="X29" s="24">
        <v>115</v>
      </c>
      <c r="Y29" s="24">
        <v>563</v>
      </c>
      <c r="Z29" s="4">
        <f t="shared" si="4"/>
        <v>448</v>
      </c>
      <c r="AB29" t="s">
        <v>88</v>
      </c>
      <c r="AD29">
        <v>4</v>
      </c>
      <c r="AH29" t="s">
        <v>72</v>
      </c>
      <c r="AL29" s="27"/>
      <c r="AO29" s="4">
        <v>115</v>
      </c>
      <c r="AP29" s="4">
        <v>563</v>
      </c>
      <c r="AQ29" s="4">
        <f t="shared" si="5"/>
        <v>448</v>
      </c>
      <c r="AS29" t="s">
        <v>88</v>
      </c>
      <c r="AU29">
        <v>2</v>
      </c>
      <c r="AY29" t="s">
        <v>72</v>
      </c>
    </row>
    <row r="30" spans="1:53" ht="17" thickBot="1">
      <c r="A30" t="s">
        <v>20</v>
      </c>
      <c r="C30" s="4">
        <v>70</v>
      </c>
      <c r="E30" s="4">
        <v>20</v>
      </c>
      <c r="G30" s="4">
        <f t="shared" si="0"/>
        <v>-50</v>
      </c>
      <c r="N30" s="10" t="s">
        <v>24</v>
      </c>
      <c r="O30">
        <v>22</v>
      </c>
      <c r="P30" s="22">
        <v>0</v>
      </c>
      <c r="Q30" s="23">
        <f>S8/O30</f>
        <v>0.18181818181818182</v>
      </c>
      <c r="R30" s="17">
        <f>P16/O30</f>
        <v>4.5454545454545456E-2</v>
      </c>
      <c r="S30" s="14">
        <f>S16/O30</f>
        <v>4.5454545454545456E-2</v>
      </c>
      <c r="U30" s="27"/>
      <c r="X30" s="24">
        <v>94</v>
      </c>
      <c r="Y30" s="24">
        <v>937</v>
      </c>
      <c r="Z30" s="4">
        <f t="shared" si="4"/>
        <v>843</v>
      </c>
      <c r="AB30" t="s">
        <v>89</v>
      </c>
      <c r="AD30">
        <v>4</v>
      </c>
      <c r="AH30" t="s">
        <v>73</v>
      </c>
      <c r="AL30" s="27"/>
      <c r="AO30" s="4">
        <v>94</v>
      </c>
      <c r="AP30" s="24">
        <v>937</v>
      </c>
      <c r="AQ30" s="4">
        <f t="shared" si="5"/>
        <v>843</v>
      </c>
      <c r="AS30" t="s">
        <v>89</v>
      </c>
      <c r="AU30">
        <v>5</v>
      </c>
      <c r="AY30" t="s">
        <v>73</v>
      </c>
    </row>
    <row r="31" spans="1:53" ht="17" thickTop="1">
      <c r="C31" s="4">
        <v>70</v>
      </c>
      <c r="E31" s="4">
        <v>216</v>
      </c>
      <c r="G31" s="4">
        <f t="shared" si="0"/>
        <v>146</v>
      </c>
      <c r="U31" s="27"/>
      <c r="X31" s="24">
        <v>92</v>
      </c>
      <c r="Y31" s="24">
        <v>631</v>
      </c>
      <c r="Z31" s="4">
        <f t="shared" si="4"/>
        <v>539</v>
      </c>
      <c r="AL31" s="27"/>
      <c r="AO31" s="4">
        <v>92</v>
      </c>
      <c r="AP31" s="24">
        <v>631</v>
      </c>
      <c r="AQ31" s="4">
        <f t="shared" si="5"/>
        <v>539</v>
      </c>
    </row>
    <row r="32" spans="1:53">
      <c r="C32" s="4">
        <v>68</v>
      </c>
      <c r="E32" s="4">
        <v>216</v>
      </c>
      <c r="G32" s="4">
        <f t="shared" si="0"/>
        <v>148</v>
      </c>
      <c r="U32" s="27"/>
      <c r="X32" s="4">
        <v>120</v>
      </c>
      <c r="Y32" s="4">
        <v>462</v>
      </c>
      <c r="Z32" s="4">
        <f t="shared" si="4"/>
        <v>342</v>
      </c>
      <c r="AB32" t="s">
        <v>63</v>
      </c>
      <c r="AD32" s="25">
        <v>0.5</v>
      </c>
      <c r="AE32" t="s">
        <v>66</v>
      </c>
      <c r="AL32" s="27"/>
      <c r="AO32" s="4">
        <v>120</v>
      </c>
      <c r="AP32" s="4">
        <v>462</v>
      </c>
      <c r="AQ32" s="4">
        <f t="shared" si="5"/>
        <v>342</v>
      </c>
      <c r="AS32" t="s">
        <v>63</v>
      </c>
      <c r="AU32" s="6">
        <v>0.55000000000000004</v>
      </c>
      <c r="AX32" s="3" t="s">
        <v>112</v>
      </c>
      <c r="AZ32" s="6">
        <f>9/16</f>
        <v>0.5625</v>
      </c>
    </row>
    <row r="33" spans="1:54">
      <c r="C33" s="4">
        <v>68</v>
      </c>
      <c r="E33" s="4">
        <v>212</v>
      </c>
      <c r="G33" s="4">
        <f t="shared" si="0"/>
        <v>144</v>
      </c>
      <c r="U33" s="27"/>
      <c r="W33">
        <v>2007</v>
      </c>
      <c r="X33" s="24">
        <v>150</v>
      </c>
      <c r="Y33" s="24">
        <v>623</v>
      </c>
      <c r="Z33" s="4">
        <f t="shared" si="4"/>
        <v>473</v>
      </c>
      <c r="AB33" t="s">
        <v>64</v>
      </c>
      <c r="AD33" s="25">
        <v>0.5</v>
      </c>
      <c r="AE33" t="s">
        <v>65</v>
      </c>
      <c r="AL33" s="27"/>
      <c r="AN33">
        <v>2007</v>
      </c>
      <c r="AO33" s="4">
        <v>150</v>
      </c>
      <c r="AP33" s="24">
        <v>623</v>
      </c>
      <c r="AQ33" s="4">
        <f t="shared" si="5"/>
        <v>473</v>
      </c>
      <c r="AS33" t="s">
        <v>64</v>
      </c>
      <c r="AU33" s="25">
        <f>2/7</f>
        <v>0.2857142857142857</v>
      </c>
      <c r="AX33" s="3" t="s">
        <v>113</v>
      </c>
      <c r="AZ33" s="6">
        <f>7/16</f>
        <v>0.4375</v>
      </c>
    </row>
    <row r="34" spans="1:54">
      <c r="C34" s="4">
        <v>65</v>
      </c>
      <c r="E34" s="4">
        <v>236</v>
      </c>
      <c r="G34" s="4">
        <f t="shared" si="0"/>
        <v>171</v>
      </c>
      <c r="U34" s="27"/>
      <c r="W34" t="s">
        <v>74</v>
      </c>
      <c r="X34" s="4">
        <v>180</v>
      </c>
      <c r="Y34" s="4">
        <v>522</v>
      </c>
      <c r="Z34" s="4">
        <f t="shared" si="4"/>
        <v>342</v>
      </c>
      <c r="AL34" s="27"/>
      <c r="AN34" t="s">
        <v>74</v>
      </c>
      <c r="AO34" s="4">
        <v>180</v>
      </c>
      <c r="AP34" s="4">
        <v>522</v>
      </c>
      <c r="AQ34" s="4">
        <f t="shared" si="5"/>
        <v>342</v>
      </c>
    </row>
    <row r="35" spans="1:54">
      <c r="C35" s="4">
        <v>65</v>
      </c>
      <c r="E35" s="4">
        <v>162</v>
      </c>
      <c r="G35" s="4">
        <f t="shared" si="0"/>
        <v>97</v>
      </c>
      <c r="U35" s="27"/>
      <c r="X35" s="4">
        <v>175</v>
      </c>
      <c r="Y35" s="24">
        <v>731</v>
      </c>
      <c r="Z35" s="4">
        <f t="shared" si="4"/>
        <v>556</v>
      </c>
      <c r="AB35" t="s">
        <v>82</v>
      </c>
      <c r="AE35" s="26">
        <f>SUM(Z26:Z46)</f>
        <v>7346</v>
      </c>
      <c r="AL35" s="27"/>
      <c r="AO35" s="4">
        <v>175</v>
      </c>
      <c r="AP35" s="24">
        <v>731</v>
      </c>
      <c r="AQ35" s="4">
        <f t="shared" si="5"/>
        <v>556</v>
      </c>
      <c r="AS35" t="s">
        <v>82</v>
      </c>
      <c r="AV35" s="26">
        <f>SUM(AQ26:AQ41)</f>
        <v>7346</v>
      </c>
    </row>
    <row r="36" spans="1:54">
      <c r="C36" s="5">
        <v>65</v>
      </c>
      <c r="D36" s="2"/>
      <c r="E36" s="5">
        <v>134</v>
      </c>
      <c r="F36" s="2"/>
      <c r="G36" s="4">
        <f t="shared" si="0"/>
        <v>69</v>
      </c>
      <c r="U36" s="27"/>
      <c r="X36" s="4">
        <v>200</v>
      </c>
      <c r="Y36" s="24">
        <v>1063</v>
      </c>
      <c r="Z36" s="4">
        <f t="shared" si="4"/>
        <v>863</v>
      </c>
      <c r="AB36" t="s">
        <v>54</v>
      </c>
      <c r="AE36" s="26">
        <f>SUM(X26:X46)</f>
        <v>2326</v>
      </c>
      <c r="AL36" s="27"/>
      <c r="AO36" s="4">
        <v>200</v>
      </c>
      <c r="AP36" s="24">
        <v>1063</v>
      </c>
      <c r="AQ36" s="4">
        <f t="shared" si="5"/>
        <v>863</v>
      </c>
      <c r="AS36" t="s">
        <v>54</v>
      </c>
      <c r="AV36" s="26">
        <f>SUM(AO26:AO41)</f>
        <v>2326</v>
      </c>
    </row>
    <row r="37" spans="1:54">
      <c r="A37" t="s">
        <v>24</v>
      </c>
      <c r="C37" s="5">
        <v>61</v>
      </c>
      <c r="D37" s="2"/>
      <c r="E37" s="5">
        <v>368</v>
      </c>
      <c r="F37" s="2"/>
      <c r="G37" s="4">
        <f t="shared" si="0"/>
        <v>307</v>
      </c>
      <c r="U37" s="27"/>
      <c r="X37" s="4">
        <v>200</v>
      </c>
      <c r="Y37" s="4">
        <v>561</v>
      </c>
      <c r="Z37" s="4">
        <f t="shared" si="4"/>
        <v>361</v>
      </c>
      <c r="AG37" t="s">
        <v>62</v>
      </c>
      <c r="AL37" s="27"/>
      <c r="AO37" s="4">
        <v>200</v>
      </c>
      <c r="AP37" s="4">
        <v>561</v>
      </c>
      <c r="AQ37" s="4">
        <f t="shared" si="5"/>
        <v>361</v>
      </c>
      <c r="AX37" t="s">
        <v>62</v>
      </c>
    </row>
    <row r="38" spans="1:54">
      <c r="A38" t="s">
        <v>22</v>
      </c>
      <c r="C38" s="5">
        <v>60</v>
      </c>
      <c r="D38" s="2"/>
      <c r="E38" s="5">
        <v>47</v>
      </c>
      <c r="F38" s="2"/>
      <c r="G38" s="4">
        <f t="shared" si="0"/>
        <v>-13</v>
      </c>
      <c r="U38" s="27"/>
      <c r="X38" s="4">
        <v>185</v>
      </c>
      <c r="Y38" s="4">
        <v>539</v>
      </c>
      <c r="Z38" s="4">
        <f t="shared" si="4"/>
        <v>354</v>
      </c>
      <c r="AB38" t="s">
        <v>83</v>
      </c>
      <c r="AE38" s="26">
        <f>SUM(Z34:Z41)</f>
        <v>3740</v>
      </c>
      <c r="AG38" t="s">
        <v>68</v>
      </c>
      <c r="AI38" s="6">
        <f>AE38/AE35</f>
        <v>0.50912060985570373</v>
      </c>
      <c r="AL38" s="27"/>
      <c r="AO38" s="4">
        <v>185</v>
      </c>
      <c r="AP38" s="4">
        <v>539</v>
      </c>
      <c r="AQ38" s="4">
        <f t="shared" si="5"/>
        <v>354</v>
      </c>
      <c r="AS38" t="s">
        <v>83</v>
      </c>
      <c r="AV38" s="26">
        <f>SUM(AQ33:AQ41)</f>
        <v>4213</v>
      </c>
      <c r="AX38" t="s">
        <v>68</v>
      </c>
      <c r="BA38" s="6">
        <f>AV38/AV35</f>
        <v>0.57350939286686631</v>
      </c>
    </row>
    <row r="39" spans="1:54">
      <c r="C39" s="5">
        <v>60</v>
      </c>
      <c r="D39" s="2"/>
      <c r="E39" s="5">
        <v>109</v>
      </c>
      <c r="F39" s="2"/>
      <c r="G39" s="4">
        <f t="shared" si="0"/>
        <v>49</v>
      </c>
      <c r="U39" s="27"/>
      <c r="X39" s="4">
        <v>200</v>
      </c>
      <c r="Y39" s="24">
        <v>744</v>
      </c>
      <c r="Z39" s="4">
        <f t="shared" si="4"/>
        <v>544</v>
      </c>
      <c r="AB39" t="s">
        <v>84</v>
      </c>
      <c r="AE39" s="26">
        <f>SUM(Z26:Z33)</f>
        <v>3606</v>
      </c>
      <c r="AG39" t="s">
        <v>69</v>
      </c>
      <c r="AI39" s="6">
        <f>AE39/AE35</f>
        <v>0.49087939014429621</v>
      </c>
      <c r="AL39" s="27"/>
      <c r="AO39" s="4">
        <v>200</v>
      </c>
      <c r="AP39" s="24">
        <v>744</v>
      </c>
      <c r="AQ39" s="4">
        <f t="shared" si="5"/>
        <v>544</v>
      </c>
      <c r="AS39" t="s">
        <v>84</v>
      </c>
      <c r="AV39" s="26">
        <f>SUM(AQ26:AQ32)</f>
        <v>3133</v>
      </c>
      <c r="AX39" t="s">
        <v>69</v>
      </c>
      <c r="BA39" s="6">
        <f>AV39/AV35</f>
        <v>0.42649060713313369</v>
      </c>
    </row>
    <row r="40" spans="1:54">
      <c r="A40" t="s">
        <v>25</v>
      </c>
      <c r="C40" s="5">
        <v>60</v>
      </c>
      <c r="D40" s="2"/>
      <c r="E40" s="5">
        <v>31</v>
      </c>
      <c r="F40" s="2"/>
      <c r="G40" s="4">
        <f t="shared" si="0"/>
        <v>-29</v>
      </c>
      <c r="U40" s="27"/>
      <c r="X40" s="4">
        <v>175</v>
      </c>
      <c r="Y40" s="24">
        <v>851</v>
      </c>
      <c r="Z40" s="4">
        <f t="shared" si="4"/>
        <v>676</v>
      </c>
      <c r="AL40" s="27"/>
      <c r="AO40" s="4">
        <v>175</v>
      </c>
      <c r="AP40" s="24">
        <v>851</v>
      </c>
      <c r="AQ40" s="4">
        <f t="shared" si="5"/>
        <v>676</v>
      </c>
    </row>
    <row r="41" spans="1:54">
      <c r="A41" t="s">
        <v>25</v>
      </c>
      <c r="C41" s="5">
        <v>59</v>
      </c>
      <c r="D41" s="2"/>
      <c r="E41" s="5">
        <v>547</v>
      </c>
      <c r="F41" s="2"/>
      <c r="G41" s="4">
        <f t="shared" si="0"/>
        <v>488</v>
      </c>
      <c r="U41" s="27"/>
      <c r="X41" s="4">
        <v>200</v>
      </c>
      <c r="Y41" s="4">
        <v>244</v>
      </c>
      <c r="Z41" s="4">
        <f t="shared" si="4"/>
        <v>44</v>
      </c>
      <c r="AB41" t="s">
        <v>56</v>
      </c>
      <c r="AE41" s="26">
        <f>SUM(X34:X41)</f>
        <v>1515</v>
      </c>
      <c r="AG41" t="s">
        <v>59</v>
      </c>
      <c r="AI41" s="6">
        <f>AE41/AE36</f>
        <v>0.65133276010318142</v>
      </c>
      <c r="AJ41" t="s">
        <v>70</v>
      </c>
      <c r="AL41" s="27"/>
      <c r="AO41" s="4">
        <v>200</v>
      </c>
      <c r="AP41" s="4">
        <v>244</v>
      </c>
      <c r="AQ41" s="4">
        <f t="shared" si="5"/>
        <v>44</v>
      </c>
      <c r="AS41" t="s">
        <v>56</v>
      </c>
      <c r="AV41" s="26">
        <f>SUM(AO34:AO41)</f>
        <v>1515</v>
      </c>
      <c r="AX41" t="s">
        <v>59</v>
      </c>
      <c r="BA41" s="6">
        <f>AV41/AV36</f>
        <v>0.65133276010318142</v>
      </c>
      <c r="BB41" t="s">
        <v>70</v>
      </c>
    </row>
    <row r="42" spans="1:54">
      <c r="C42" s="5">
        <v>55</v>
      </c>
      <c r="D42" s="2"/>
      <c r="E42" s="5">
        <v>192</v>
      </c>
      <c r="F42" s="2"/>
      <c r="G42" s="4">
        <f t="shared" si="0"/>
        <v>137</v>
      </c>
      <c r="U42" s="27"/>
      <c r="AB42" t="s">
        <v>55</v>
      </c>
      <c r="AE42" s="26">
        <f>SUM(X26:X33)</f>
        <v>811</v>
      </c>
      <c r="AG42" t="s">
        <v>59</v>
      </c>
      <c r="AI42" s="6">
        <f>AE42/AE36</f>
        <v>0.34866723989681858</v>
      </c>
      <c r="AJ42" t="s">
        <v>60</v>
      </c>
      <c r="AL42" s="27"/>
      <c r="AS42" t="s">
        <v>55</v>
      </c>
      <c r="AV42" s="26">
        <f>SUM(AO26:AO33)</f>
        <v>811</v>
      </c>
      <c r="AX42" t="s">
        <v>59</v>
      </c>
      <c r="BA42" s="6">
        <f>AV42/AV36</f>
        <v>0.34866723989681858</v>
      </c>
      <c r="BB42" t="s">
        <v>60</v>
      </c>
    </row>
    <row r="43" spans="1:54">
      <c r="C43" s="5">
        <v>50</v>
      </c>
      <c r="D43" s="2"/>
      <c r="E43" s="5">
        <v>159</v>
      </c>
      <c r="F43" s="2"/>
      <c r="G43" s="4">
        <f t="shared" si="0"/>
        <v>109</v>
      </c>
      <c r="U43" s="27"/>
      <c r="AL43" s="27"/>
    </row>
    <row r="44" spans="1:54">
      <c r="A44" t="s">
        <v>26</v>
      </c>
      <c r="C44" s="5">
        <v>50</v>
      </c>
      <c r="D44" s="2"/>
      <c r="E44" s="5">
        <v>13</v>
      </c>
      <c r="F44" s="2"/>
      <c r="G44" s="4">
        <f t="shared" si="0"/>
        <v>-37</v>
      </c>
      <c r="U44" s="27"/>
      <c r="AL44" s="27"/>
    </row>
    <row r="45" spans="1:54">
      <c r="C45" s="5">
        <v>50</v>
      </c>
      <c r="D45" s="2"/>
      <c r="E45" s="5">
        <v>72</v>
      </c>
      <c r="F45" s="2"/>
      <c r="G45" s="4">
        <f t="shared" si="0"/>
        <v>22</v>
      </c>
      <c r="U45" s="27"/>
      <c r="AD45" t="s">
        <v>71</v>
      </c>
      <c r="AL45" s="27"/>
      <c r="AU45" t="s">
        <v>71</v>
      </c>
    </row>
    <row r="46" spans="1:54">
      <c r="A46" s="1" t="s">
        <v>18</v>
      </c>
      <c r="C46" s="5">
        <v>50</v>
      </c>
      <c r="D46" s="2"/>
      <c r="E46" s="5">
        <v>213</v>
      </c>
      <c r="F46" s="2"/>
      <c r="G46" s="4">
        <f t="shared" si="0"/>
        <v>163</v>
      </c>
      <c r="U46" s="27"/>
      <c r="AD46" s="7" t="s">
        <v>60</v>
      </c>
      <c r="AE46" s="33">
        <f>AE39/AE42</f>
        <v>4.4463625154130701</v>
      </c>
      <c r="AL46" s="27"/>
      <c r="AU46" s="7" t="s">
        <v>60</v>
      </c>
      <c r="AV46" s="33">
        <f>AV39/AV42</f>
        <v>3.8631319358816274</v>
      </c>
    </row>
    <row r="47" spans="1:54">
      <c r="C47" s="5">
        <v>50</v>
      </c>
      <c r="D47" s="2"/>
      <c r="E47" s="5">
        <v>97</v>
      </c>
      <c r="F47" s="2"/>
      <c r="G47" s="4">
        <f t="shared" si="0"/>
        <v>47</v>
      </c>
      <c r="U47" s="27"/>
      <c r="AD47" t="s">
        <v>61</v>
      </c>
      <c r="AE47" s="6">
        <f>AE38/AE41</f>
        <v>2.4686468646864688</v>
      </c>
      <c r="AL47" s="27"/>
      <c r="AU47" t="s">
        <v>61</v>
      </c>
      <c r="AV47" s="6">
        <f>AV38/AV41</f>
        <v>2.780858085808581</v>
      </c>
    </row>
    <row r="48" spans="1:54">
      <c r="C48" s="5">
        <v>50</v>
      </c>
      <c r="D48" s="2"/>
      <c r="E48" s="5">
        <v>84</v>
      </c>
      <c r="F48" s="2"/>
      <c r="G48" s="4">
        <f t="shared" si="0"/>
        <v>34</v>
      </c>
      <c r="U48" s="27"/>
      <c r="W48" t="s">
        <v>75</v>
      </c>
      <c r="AL48" s="27"/>
      <c r="AN48" t="s">
        <v>75</v>
      </c>
    </row>
    <row r="49" spans="1:52">
      <c r="C49" s="5">
        <v>49</v>
      </c>
      <c r="D49" s="2"/>
      <c r="E49" s="5">
        <v>102</v>
      </c>
      <c r="F49" s="2"/>
      <c r="G49" s="4">
        <f t="shared" si="0"/>
        <v>53</v>
      </c>
      <c r="U49" s="27"/>
      <c r="X49" t="s">
        <v>45</v>
      </c>
      <c r="Y49" t="s">
        <v>53</v>
      </c>
      <c r="Z49" t="s">
        <v>80</v>
      </c>
      <c r="AB49" t="s">
        <v>76</v>
      </c>
      <c r="AL49" s="27"/>
      <c r="AO49" t="s">
        <v>45</v>
      </c>
      <c r="AP49" t="s">
        <v>53</v>
      </c>
      <c r="AQ49" t="s">
        <v>80</v>
      </c>
    </row>
    <row r="50" spans="1:52">
      <c r="A50" t="s">
        <v>24</v>
      </c>
      <c r="C50" s="4">
        <v>48</v>
      </c>
      <c r="E50" s="4">
        <v>327</v>
      </c>
      <c r="G50" s="4">
        <f t="shared" si="0"/>
        <v>279</v>
      </c>
      <c r="U50" s="27"/>
      <c r="X50" s="4">
        <v>40</v>
      </c>
      <c r="Y50" s="4">
        <v>212</v>
      </c>
      <c r="Z50" s="4">
        <f>Y50-X50</f>
        <v>172</v>
      </c>
      <c r="AB50" t="s">
        <v>90</v>
      </c>
      <c r="AL50" s="27"/>
      <c r="AO50" s="4">
        <v>40</v>
      </c>
      <c r="AP50" s="4">
        <v>212</v>
      </c>
      <c r="AQ50" s="4">
        <f>AP50-AO50</f>
        <v>172</v>
      </c>
    </row>
    <row r="51" spans="1:52">
      <c r="A51" t="s">
        <v>27</v>
      </c>
      <c r="C51" s="4">
        <v>44</v>
      </c>
      <c r="E51" s="4">
        <v>11</v>
      </c>
      <c r="G51" s="4">
        <f t="shared" si="0"/>
        <v>-33</v>
      </c>
      <c r="U51" s="27"/>
      <c r="X51" s="24">
        <v>25</v>
      </c>
      <c r="Y51" s="24">
        <v>425</v>
      </c>
      <c r="Z51" s="4">
        <f t="shared" ref="Z51:Z73" si="6">Y51-X51</f>
        <v>400</v>
      </c>
      <c r="AB51" t="s">
        <v>86</v>
      </c>
      <c r="AD51">
        <v>6</v>
      </c>
      <c r="AL51" s="27"/>
      <c r="AO51" s="24">
        <v>25</v>
      </c>
      <c r="AP51" s="24">
        <v>425</v>
      </c>
      <c r="AQ51" s="4">
        <f t="shared" ref="AQ51:AQ73" si="7">AP51-AO51</f>
        <v>400</v>
      </c>
      <c r="AS51" t="s">
        <v>86</v>
      </c>
      <c r="AU51">
        <v>5</v>
      </c>
    </row>
    <row r="52" spans="1:52">
      <c r="C52" s="4">
        <v>42</v>
      </c>
      <c r="E52" s="4">
        <v>107</v>
      </c>
      <c r="G52" s="4">
        <f t="shared" si="0"/>
        <v>65</v>
      </c>
      <c r="U52" s="27"/>
      <c r="X52" s="24">
        <v>28</v>
      </c>
      <c r="Y52" s="24">
        <v>504</v>
      </c>
      <c r="Z52" s="4">
        <f t="shared" si="6"/>
        <v>476</v>
      </c>
      <c r="AB52" t="s">
        <v>87</v>
      </c>
      <c r="AD52">
        <v>6</v>
      </c>
      <c r="AL52" s="27"/>
      <c r="AO52" s="24">
        <v>28</v>
      </c>
      <c r="AP52" s="24">
        <v>504</v>
      </c>
      <c r="AQ52" s="4">
        <f t="shared" si="7"/>
        <v>476</v>
      </c>
      <c r="AS52" t="s">
        <v>87</v>
      </c>
      <c r="AU52">
        <v>7</v>
      </c>
    </row>
    <row r="53" spans="1:52">
      <c r="C53" s="4">
        <v>40</v>
      </c>
      <c r="E53" s="4">
        <v>112</v>
      </c>
      <c r="G53" s="4">
        <f t="shared" si="0"/>
        <v>72</v>
      </c>
      <c r="U53" s="27"/>
      <c r="X53" s="24">
        <v>45</v>
      </c>
      <c r="Y53" s="24">
        <v>988</v>
      </c>
      <c r="Z53" s="4">
        <f t="shared" si="6"/>
        <v>943</v>
      </c>
      <c r="AB53" t="s">
        <v>88</v>
      </c>
      <c r="AD53">
        <v>6</v>
      </c>
      <c r="AH53" t="s">
        <v>72</v>
      </c>
      <c r="AL53" s="27"/>
      <c r="AO53" s="24">
        <v>45</v>
      </c>
      <c r="AP53" s="24">
        <v>988</v>
      </c>
      <c r="AQ53" s="4">
        <f t="shared" si="7"/>
        <v>943</v>
      </c>
      <c r="AS53" t="s">
        <v>88</v>
      </c>
      <c r="AU53">
        <v>4</v>
      </c>
      <c r="AY53" t="s">
        <v>72</v>
      </c>
    </row>
    <row r="54" spans="1:52">
      <c r="A54" t="s">
        <v>28</v>
      </c>
      <c r="C54" s="4">
        <v>40</v>
      </c>
      <c r="E54" s="4">
        <v>11</v>
      </c>
      <c r="G54" s="4">
        <f t="shared" si="0"/>
        <v>-29</v>
      </c>
      <c r="U54" s="27"/>
      <c r="X54" s="24">
        <v>55</v>
      </c>
      <c r="Y54" s="24">
        <v>347</v>
      </c>
      <c r="Z54" s="4">
        <f t="shared" si="6"/>
        <v>292</v>
      </c>
      <c r="AB54" t="s">
        <v>89</v>
      </c>
      <c r="AD54">
        <v>6</v>
      </c>
      <c r="AH54" t="s">
        <v>73</v>
      </c>
      <c r="AL54" s="27"/>
      <c r="AO54" s="24">
        <v>55</v>
      </c>
      <c r="AP54" s="24">
        <v>347</v>
      </c>
      <c r="AQ54" s="4">
        <f t="shared" si="7"/>
        <v>292</v>
      </c>
      <c r="AS54" t="s">
        <v>89</v>
      </c>
      <c r="AU54">
        <v>8</v>
      </c>
      <c r="AY54" t="s">
        <v>73</v>
      </c>
    </row>
    <row r="55" spans="1:52">
      <c r="A55" t="s">
        <v>20</v>
      </c>
      <c r="C55" s="4">
        <v>40</v>
      </c>
      <c r="E55" s="4">
        <v>571</v>
      </c>
      <c r="G55" s="4">
        <f t="shared" si="0"/>
        <v>531</v>
      </c>
      <c r="U55" s="27"/>
      <c r="X55" s="24">
        <v>100</v>
      </c>
      <c r="Y55" s="24">
        <v>325</v>
      </c>
      <c r="Z55" s="4">
        <f t="shared" si="6"/>
        <v>225</v>
      </c>
      <c r="AL55" s="27"/>
      <c r="AO55" s="4">
        <v>100</v>
      </c>
      <c r="AP55" s="4">
        <v>325</v>
      </c>
      <c r="AQ55" s="4">
        <f t="shared" si="7"/>
        <v>225</v>
      </c>
    </row>
    <row r="56" spans="1:52">
      <c r="C56" s="4">
        <v>40</v>
      </c>
      <c r="E56" s="4">
        <v>170</v>
      </c>
      <c r="G56" s="4">
        <f t="shared" si="0"/>
        <v>130</v>
      </c>
      <c r="U56" s="27"/>
      <c r="X56" s="4">
        <v>85</v>
      </c>
      <c r="Y56" s="4">
        <v>253</v>
      </c>
      <c r="Z56" s="4">
        <f t="shared" si="6"/>
        <v>168</v>
      </c>
      <c r="AB56" t="s">
        <v>63</v>
      </c>
      <c r="AD56" s="25">
        <v>0.5</v>
      </c>
      <c r="AE56" t="s">
        <v>77</v>
      </c>
      <c r="AL56" s="27"/>
      <c r="AO56" s="4">
        <v>85</v>
      </c>
      <c r="AP56" s="4">
        <v>253</v>
      </c>
      <c r="AQ56" s="4">
        <f t="shared" si="7"/>
        <v>168</v>
      </c>
      <c r="AS56" t="s">
        <v>63</v>
      </c>
      <c r="AU56" s="6">
        <v>0.41666666666666702</v>
      </c>
      <c r="AX56" t="s">
        <v>112</v>
      </c>
      <c r="AZ56" s="6">
        <f>12/24</f>
        <v>0.5</v>
      </c>
    </row>
    <row r="57" spans="1:52">
      <c r="A57" t="s">
        <v>27</v>
      </c>
      <c r="C57" s="4">
        <v>37</v>
      </c>
      <c r="E57" s="4">
        <v>26</v>
      </c>
      <c r="G57" s="4">
        <f t="shared" si="0"/>
        <v>-11</v>
      </c>
      <c r="U57" s="27"/>
      <c r="X57" s="24">
        <v>70</v>
      </c>
      <c r="Y57" s="24">
        <v>305</v>
      </c>
      <c r="Z57" s="4">
        <f t="shared" si="6"/>
        <v>235</v>
      </c>
      <c r="AB57" t="s">
        <v>64</v>
      </c>
      <c r="AD57" s="25">
        <v>0.5</v>
      </c>
      <c r="AE57" t="s">
        <v>67</v>
      </c>
      <c r="AL57" s="27"/>
      <c r="AO57" s="4">
        <v>70</v>
      </c>
      <c r="AP57" s="4">
        <v>305</v>
      </c>
      <c r="AQ57" s="4">
        <f t="shared" si="7"/>
        <v>235</v>
      </c>
      <c r="AS57" t="s">
        <v>64</v>
      </c>
      <c r="AU57" s="6">
        <v>0.33333333333333298</v>
      </c>
      <c r="AX57" t="s">
        <v>113</v>
      </c>
      <c r="AZ57" s="6">
        <f>0.5</f>
        <v>0.5</v>
      </c>
    </row>
    <row r="58" spans="1:52">
      <c r="A58" t="s">
        <v>25</v>
      </c>
      <c r="C58" s="4">
        <v>36</v>
      </c>
      <c r="E58" s="4">
        <v>52</v>
      </c>
      <c r="G58" s="4">
        <f t="shared" si="0"/>
        <v>16</v>
      </c>
      <c r="U58" s="27"/>
      <c r="X58" s="4">
        <v>130</v>
      </c>
      <c r="Y58" s="24">
        <v>448</v>
      </c>
      <c r="Z58" s="4">
        <f t="shared" si="6"/>
        <v>318</v>
      </c>
      <c r="AL58" s="27"/>
      <c r="AO58" s="4">
        <v>130</v>
      </c>
      <c r="AP58" s="24">
        <v>448</v>
      </c>
      <c r="AQ58" s="4">
        <f t="shared" si="7"/>
        <v>318</v>
      </c>
    </row>
    <row r="59" spans="1:52">
      <c r="C59" s="4">
        <v>35</v>
      </c>
      <c r="E59" s="4">
        <v>82</v>
      </c>
      <c r="G59" s="4">
        <f t="shared" si="0"/>
        <v>47</v>
      </c>
      <c r="U59" s="27"/>
      <c r="X59" s="4">
        <v>127.5</v>
      </c>
      <c r="Y59" s="24">
        <v>350</v>
      </c>
      <c r="Z59" s="4">
        <f t="shared" si="6"/>
        <v>222.5</v>
      </c>
      <c r="AB59" t="s">
        <v>82</v>
      </c>
      <c r="AE59" s="26">
        <f>SUM(Z50:Z73)</f>
        <v>6584.5</v>
      </c>
      <c r="AL59" s="27"/>
      <c r="AO59" s="4">
        <v>127.5</v>
      </c>
      <c r="AP59" s="4">
        <v>350</v>
      </c>
      <c r="AQ59" s="4">
        <f t="shared" si="7"/>
        <v>222.5</v>
      </c>
      <c r="AS59" t="s">
        <v>82</v>
      </c>
      <c r="AV59" s="26">
        <f>SUM(AQ50:AQ73)</f>
        <v>6584.5</v>
      </c>
    </row>
    <row r="60" spans="1:52">
      <c r="C60" s="4">
        <v>35</v>
      </c>
      <c r="E60" s="4">
        <v>140</v>
      </c>
      <c r="G60" s="4">
        <f t="shared" si="0"/>
        <v>105</v>
      </c>
      <c r="U60" s="27"/>
      <c r="X60" s="4">
        <v>100</v>
      </c>
      <c r="Y60" s="4">
        <v>169</v>
      </c>
      <c r="Z60" s="4">
        <f t="shared" si="6"/>
        <v>69</v>
      </c>
      <c r="AB60" t="s">
        <v>54</v>
      </c>
      <c r="AE60" s="26">
        <f>SUM(X50:X73)</f>
        <v>2723.5</v>
      </c>
      <c r="AL60" s="27"/>
      <c r="AO60" s="4">
        <v>100</v>
      </c>
      <c r="AP60" s="4">
        <v>169</v>
      </c>
      <c r="AQ60" s="4">
        <f t="shared" si="7"/>
        <v>69</v>
      </c>
      <c r="AS60" t="s">
        <v>54</v>
      </c>
      <c r="AV60" s="26">
        <f>SUM(AO50:AO73)</f>
        <v>2723.5</v>
      </c>
    </row>
    <row r="61" spans="1:52">
      <c r="C61" s="4">
        <v>35</v>
      </c>
      <c r="E61" s="4">
        <v>95</v>
      </c>
      <c r="G61" s="4">
        <f t="shared" si="0"/>
        <v>60</v>
      </c>
      <c r="U61" s="27"/>
      <c r="X61" s="4">
        <v>120</v>
      </c>
      <c r="Y61" s="4">
        <v>186</v>
      </c>
      <c r="Z61" s="4">
        <f t="shared" si="6"/>
        <v>66</v>
      </c>
      <c r="AG61" t="s">
        <v>62</v>
      </c>
      <c r="AL61" s="27"/>
      <c r="AO61" s="4">
        <v>120</v>
      </c>
      <c r="AP61" s="4">
        <v>186</v>
      </c>
      <c r="AQ61" s="4">
        <f t="shared" si="7"/>
        <v>66</v>
      </c>
      <c r="AX61" t="s">
        <v>62</v>
      </c>
    </row>
    <row r="62" spans="1:52">
      <c r="C62" s="4">
        <v>35</v>
      </c>
      <c r="E62" s="4">
        <v>52</v>
      </c>
      <c r="G62" s="4">
        <f t="shared" si="0"/>
        <v>17</v>
      </c>
      <c r="U62" s="27"/>
      <c r="X62" s="4">
        <v>80</v>
      </c>
      <c r="Y62" s="4">
        <v>273</v>
      </c>
      <c r="Z62" s="4">
        <f t="shared" si="6"/>
        <v>193</v>
      </c>
      <c r="AB62" t="s">
        <v>83</v>
      </c>
      <c r="AE62" s="26">
        <f>Z58+Z59+Z70+Z71+Z72+Z73+Z61+Z63+Z64+Z66+Z67+Z68</f>
        <v>3255.5</v>
      </c>
      <c r="AG62" t="s">
        <v>68</v>
      </c>
      <c r="AI62" s="6">
        <f>AE62/AE59</f>
        <v>0.49441871060824666</v>
      </c>
      <c r="AL62" s="27"/>
      <c r="AO62" s="4">
        <v>80</v>
      </c>
      <c r="AP62" s="4">
        <v>273</v>
      </c>
      <c r="AQ62" s="4">
        <f t="shared" si="7"/>
        <v>193</v>
      </c>
      <c r="AS62" t="s">
        <v>83</v>
      </c>
      <c r="AV62" s="26">
        <f>AQ58+AQ59+AQ61+AQ63+AQ64+AQ66+AQ67+AQ68+AQ70+AQ71+AQ72+AQ73</f>
        <v>3255.5</v>
      </c>
      <c r="AX62" t="s">
        <v>68</v>
      </c>
      <c r="AZ62" s="6">
        <f>AV62/AV59</f>
        <v>0.49441871060824666</v>
      </c>
    </row>
    <row r="63" spans="1:52">
      <c r="A63" t="s">
        <v>24</v>
      </c>
      <c r="C63" s="4">
        <v>35</v>
      </c>
      <c r="E63" s="4">
        <v>14</v>
      </c>
      <c r="G63" s="4">
        <f t="shared" si="0"/>
        <v>-21</v>
      </c>
      <c r="U63" s="27"/>
      <c r="X63" s="4">
        <v>140</v>
      </c>
      <c r="Y63" s="4">
        <v>109</v>
      </c>
      <c r="Z63" s="4">
        <f t="shared" si="6"/>
        <v>-31</v>
      </c>
      <c r="AB63" t="s">
        <v>84</v>
      </c>
      <c r="AE63" s="26">
        <f>Z51+Z52+Z53+Z54+Z55+Z57+Z50+Z56+Z60+Z62+Z65+Z69</f>
        <v>3329</v>
      </c>
      <c r="AG63" t="s">
        <v>69</v>
      </c>
      <c r="AI63" s="6">
        <f>AE63/AE59</f>
        <v>0.5055812893917534</v>
      </c>
      <c r="AL63" s="27"/>
      <c r="AO63" s="4">
        <v>140</v>
      </c>
      <c r="AP63" s="4">
        <v>109</v>
      </c>
      <c r="AQ63" s="4">
        <f t="shared" si="7"/>
        <v>-31</v>
      </c>
      <c r="AS63" t="s">
        <v>84</v>
      </c>
      <c r="AV63" s="26">
        <f>SUM(AQ50:AQ57,AQ60+AQ62+AQ65+AQ69)</f>
        <v>3329</v>
      </c>
      <c r="AX63" t="s">
        <v>69</v>
      </c>
      <c r="AZ63" s="6">
        <f>AV63/AV59</f>
        <v>0.5055812893917534</v>
      </c>
    </row>
    <row r="64" spans="1:52">
      <c r="C64" s="4">
        <v>34</v>
      </c>
      <c r="E64" s="4">
        <v>63</v>
      </c>
      <c r="G64" s="4">
        <f t="shared" si="0"/>
        <v>29</v>
      </c>
      <c r="U64" s="27"/>
      <c r="X64" s="4">
        <v>128</v>
      </c>
      <c r="Y64" s="4">
        <v>250</v>
      </c>
      <c r="Z64" s="4">
        <f t="shared" si="6"/>
        <v>122</v>
      </c>
      <c r="AL64" s="27"/>
      <c r="AO64" s="4">
        <v>128</v>
      </c>
      <c r="AP64" s="4">
        <v>250</v>
      </c>
      <c r="AQ64" s="4">
        <f t="shared" si="7"/>
        <v>122</v>
      </c>
    </row>
    <row r="65" spans="1:53">
      <c r="A65" t="s">
        <v>24</v>
      </c>
      <c r="C65" s="4">
        <v>34</v>
      </c>
      <c r="E65" s="4">
        <v>341</v>
      </c>
      <c r="G65" s="4">
        <f t="shared" si="0"/>
        <v>307</v>
      </c>
      <c r="U65" s="27"/>
      <c r="X65" s="4">
        <v>110</v>
      </c>
      <c r="Y65" s="4">
        <v>104</v>
      </c>
      <c r="Z65" s="4">
        <f t="shared" si="6"/>
        <v>-6</v>
      </c>
      <c r="AB65" t="s">
        <v>56</v>
      </c>
      <c r="AE65" s="26">
        <f>X58+X59+X61+X63+X64+X66+X67+X68+X70+X71+X72+X73</f>
        <v>1880.5</v>
      </c>
      <c r="AG65" t="s">
        <v>59</v>
      </c>
      <c r="AI65" s="6">
        <f>AE65/AE60</f>
        <v>0.69047181935010093</v>
      </c>
      <c r="AJ65" t="s">
        <v>70</v>
      </c>
      <c r="AL65" s="27"/>
      <c r="AO65" s="4">
        <v>110</v>
      </c>
      <c r="AP65" s="4">
        <v>104</v>
      </c>
      <c r="AQ65" s="4">
        <f t="shared" si="7"/>
        <v>-6</v>
      </c>
      <c r="AS65" t="s">
        <v>56</v>
      </c>
      <c r="AV65" s="26">
        <f>AO58+AO59+AO61+AO63+AO64+AO66+AO67+AO68+AO70+AO71+AO72+AO73</f>
        <v>1880.5</v>
      </c>
      <c r="AX65" t="s">
        <v>59</v>
      </c>
      <c r="AZ65" s="6">
        <f>AV65/AV60</f>
        <v>0.69047181935010093</v>
      </c>
      <c r="BA65" t="s">
        <v>70</v>
      </c>
    </row>
    <row r="66" spans="1:53">
      <c r="A66" t="s">
        <v>29</v>
      </c>
      <c r="C66" s="4">
        <v>33</v>
      </c>
      <c r="E66" s="4">
        <v>9</v>
      </c>
      <c r="G66" s="4">
        <f t="shared" si="0"/>
        <v>-24</v>
      </c>
      <c r="U66" s="27"/>
      <c r="X66" s="4">
        <v>150</v>
      </c>
      <c r="Y66" s="4">
        <v>314</v>
      </c>
      <c r="Z66" s="4">
        <f t="shared" si="6"/>
        <v>164</v>
      </c>
      <c r="AB66" t="s">
        <v>55</v>
      </c>
      <c r="AE66" s="26">
        <f>X51+X52+X53+X54+X55+X57+X60+X62+X65+X69</f>
        <v>718</v>
      </c>
      <c r="AG66" t="s">
        <v>59</v>
      </c>
      <c r="AI66" s="6">
        <f>AE66/AE60</f>
        <v>0.26363135671011567</v>
      </c>
      <c r="AJ66" t="s">
        <v>60</v>
      </c>
      <c r="AL66" s="27"/>
      <c r="AO66" s="4">
        <v>150</v>
      </c>
      <c r="AP66" s="4">
        <v>314</v>
      </c>
      <c r="AQ66" s="4">
        <f t="shared" si="7"/>
        <v>164</v>
      </c>
      <c r="AS66" t="s">
        <v>55</v>
      </c>
      <c r="AV66" s="26">
        <f>AO60+AO62+AO65+AO69+SUM(AO50:AO57)</f>
        <v>843</v>
      </c>
      <c r="AX66" t="s">
        <v>59</v>
      </c>
      <c r="AZ66" s="6">
        <f>AV66/AV60</f>
        <v>0.30952818064989901</v>
      </c>
      <c r="BA66" t="s">
        <v>60</v>
      </c>
    </row>
    <row r="67" spans="1:53">
      <c r="C67" s="4">
        <v>31</v>
      </c>
      <c r="E67" s="4">
        <v>105</v>
      </c>
      <c r="G67" s="4">
        <f t="shared" ref="G67:G94" si="8">E67-C67</f>
        <v>74</v>
      </c>
      <c r="U67" s="27"/>
      <c r="X67" s="4">
        <v>195</v>
      </c>
      <c r="Y67" s="4">
        <v>170</v>
      </c>
      <c r="Z67" s="4">
        <f t="shared" si="6"/>
        <v>-25</v>
      </c>
      <c r="AL67" s="27"/>
      <c r="AO67" s="4">
        <v>195</v>
      </c>
      <c r="AP67" s="4">
        <v>170</v>
      </c>
      <c r="AQ67" s="4">
        <f t="shared" si="7"/>
        <v>-25</v>
      </c>
    </row>
    <row r="68" spans="1:53">
      <c r="C68" s="4">
        <v>30</v>
      </c>
      <c r="E68" s="4">
        <v>92</v>
      </c>
      <c r="G68" s="4">
        <f t="shared" si="8"/>
        <v>62</v>
      </c>
      <c r="U68" s="27"/>
      <c r="X68" s="4">
        <v>150</v>
      </c>
      <c r="Y68" s="4">
        <v>310</v>
      </c>
      <c r="Z68" s="4">
        <f t="shared" si="6"/>
        <v>160</v>
      </c>
      <c r="AL68" s="27"/>
      <c r="AO68" s="4">
        <v>150</v>
      </c>
      <c r="AP68" s="4">
        <v>310</v>
      </c>
      <c r="AQ68" s="4">
        <f t="shared" si="7"/>
        <v>160</v>
      </c>
    </row>
    <row r="69" spans="1:53">
      <c r="C69" s="4">
        <v>30</v>
      </c>
      <c r="E69" s="4">
        <v>49</v>
      </c>
      <c r="G69" s="4">
        <f t="shared" si="8"/>
        <v>19</v>
      </c>
      <c r="U69" s="27"/>
      <c r="X69" s="4">
        <v>105</v>
      </c>
      <c r="Y69" s="4">
        <v>267</v>
      </c>
      <c r="Z69" s="4">
        <f t="shared" si="6"/>
        <v>162</v>
      </c>
      <c r="AD69" t="s">
        <v>71</v>
      </c>
      <c r="AL69" s="27"/>
      <c r="AO69" s="4">
        <v>105</v>
      </c>
      <c r="AP69" s="4">
        <v>267</v>
      </c>
      <c r="AQ69" s="4">
        <f t="shared" si="7"/>
        <v>162</v>
      </c>
      <c r="AU69" t="s">
        <v>71</v>
      </c>
    </row>
    <row r="70" spans="1:53">
      <c r="C70" s="4">
        <v>30</v>
      </c>
      <c r="E70" s="4">
        <v>108</v>
      </c>
      <c r="G70" s="4">
        <f t="shared" si="8"/>
        <v>78</v>
      </c>
      <c r="U70" s="27"/>
      <c r="X70" s="4">
        <v>260</v>
      </c>
      <c r="Y70" s="24">
        <v>593</v>
      </c>
      <c r="Z70" s="4">
        <f t="shared" si="6"/>
        <v>333</v>
      </c>
      <c r="AD70" s="7" t="s">
        <v>60</v>
      </c>
      <c r="AE70" s="33">
        <f>AE63/AE66</f>
        <v>4.6364902506963785</v>
      </c>
      <c r="AL70" s="27"/>
      <c r="AO70" s="4">
        <v>260</v>
      </c>
      <c r="AP70" s="24">
        <v>593</v>
      </c>
      <c r="AQ70" s="4">
        <f t="shared" si="7"/>
        <v>333</v>
      </c>
      <c r="AU70" s="7" t="s">
        <v>60</v>
      </c>
      <c r="AV70" s="33">
        <f>AV63/AV66</f>
        <v>3.9489916963226572</v>
      </c>
    </row>
    <row r="71" spans="1:53">
      <c r="B71" s="2"/>
      <c r="C71" s="5">
        <v>29</v>
      </c>
      <c r="D71" s="2"/>
      <c r="E71" s="5">
        <v>287</v>
      </c>
      <c r="F71" s="2"/>
      <c r="G71" s="4">
        <f t="shared" si="8"/>
        <v>258</v>
      </c>
      <c r="U71" s="27"/>
      <c r="X71" s="4">
        <v>165</v>
      </c>
      <c r="Y71" s="24">
        <v>471</v>
      </c>
      <c r="Z71" s="4">
        <f t="shared" si="6"/>
        <v>306</v>
      </c>
      <c r="AD71" t="s">
        <v>61</v>
      </c>
      <c r="AE71" s="6">
        <f>AE62/AE65</f>
        <v>1.7311885136931666</v>
      </c>
      <c r="AL71" s="27"/>
      <c r="AO71" s="4">
        <v>165</v>
      </c>
      <c r="AP71" s="24">
        <v>471</v>
      </c>
      <c r="AQ71" s="4">
        <f t="shared" si="7"/>
        <v>306</v>
      </c>
      <c r="AU71" t="s">
        <v>61</v>
      </c>
      <c r="AV71" s="6">
        <f>AV62/AV65</f>
        <v>1.7311885136931666</v>
      </c>
    </row>
    <row r="72" spans="1:53">
      <c r="A72" t="s">
        <v>22</v>
      </c>
      <c r="C72" s="4">
        <v>28</v>
      </c>
      <c r="E72" s="4">
        <v>15</v>
      </c>
      <c r="G72" s="4">
        <f t="shared" si="8"/>
        <v>-13</v>
      </c>
      <c r="U72" s="27"/>
      <c r="X72" s="4">
        <v>150</v>
      </c>
      <c r="Y72" s="24">
        <v>1277</v>
      </c>
      <c r="Z72" s="4">
        <f t="shared" si="6"/>
        <v>1127</v>
      </c>
      <c r="AL72" s="27"/>
      <c r="AO72" s="4">
        <v>150</v>
      </c>
      <c r="AP72" s="24">
        <v>1277</v>
      </c>
      <c r="AQ72" s="4">
        <f t="shared" si="7"/>
        <v>1127</v>
      </c>
    </row>
    <row r="73" spans="1:53">
      <c r="C73" s="4">
        <v>28</v>
      </c>
      <c r="E73" s="4">
        <v>200</v>
      </c>
      <c r="G73" s="4">
        <f t="shared" si="8"/>
        <v>172</v>
      </c>
      <c r="U73" s="27"/>
      <c r="X73" s="4">
        <v>165</v>
      </c>
      <c r="Y73" s="24">
        <v>658</v>
      </c>
      <c r="Z73" s="4">
        <f t="shared" si="6"/>
        <v>493</v>
      </c>
      <c r="AL73" s="27"/>
      <c r="AO73" s="4">
        <v>165</v>
      </c>
      <c r="AP73" s="24">
        <v>658</v>
      </c>
      <c r="AQ73" s="4">
        <f t="shared" si="7"/>
        <v>493</v>
      </c>
    </row>
    <row r="74" spans="1:53">
      <c r="A74" s="1" t="s">
        <v>18</v>
      </c>
      <c r="C74" s="4">
        <v>28</v>
      </c>
      <c r="E74" s="4">
        <v>46</v>
      </c>
      <c r="G74" s="4">
        <f t="shared" si="8"/>
        <v>18</v>
      </c>
      <c r="U74" s="27"/>
      <c r="AL74" s="27"/>
    </row>
    <row r="75" spans="1:53">
      <c r="A75" s="1" t="s">
        <v>18</v>
      </c>
      <c r="C75" s="4">
        <v>28</v>
      </c>
      <c r="E75" s="4">
        <v>101</v>
      </c>
      <c r="G75" s="4">
        <f t="shared" si="8"/>
        <v>73</v>
      </c>
      <c r="U75" s="27"/>
      <c r="AL75" s="27"/>
    </row>
    <row r="76" spans="1:53">
      <c r="C76" s="4">
        <v>28</v>
      </c>
      <c r="E76" s="4">
        <v>53</v>
      </c>
      <c r="G76" s="4">
        <f t="shared" si="8"/>
        <v>25</v>
      </c>
      <c r="U76" s="27"/>
      <c r="W76" t="s">
        <v>78</v>
      </c>
      <c r="AL76" s="27"/>
      <c r="AN76" t="s">
        <v>78</v>
      </c>
    </row>
    <row r="77" spans="1:53">
      <c r="A77" t="s">
        <v>30</v>
      </c>
      <c r="C77" s="4">
        <v>26</v>
      </c>
      <c r="E77" s="4">
        <v>12</v>
      </c>
      <c r="G77" s="4">
        <f t="shared" si="8"/>
        <v>-14</v>
      </c>
      <c r="U77" s="27"/>
      <c r="X77" t="s">
        <v>45</v>
      </c>
      <c r="Y77" t="s">
        <v>79</v>
      </c>
      <c r="Z77" t="s">
        <v>80</v>
      </c>
      <c r="AB77" t="s">
        <v>76</v>
      </c>
      <c r="AL77" s="27"/>
      <c r="AO77" t="s">
        <v>45</v>
      </c>
      <c r="AP77" t="s">
        <v>79</v>
      </c>
      <c r="AQ77" t="s">
        <v>80</v>
      </c>
    </row>
    <row r="78" spans="1:53">
      <c r="A78" t="s">
        <v>31</v>
      </c>
      <c r="C78" s="4">
        <v>26</v>
      </c>
      <c r="E78" s="4">
        <v>36</v>
      </c>
      <c r="G78" s="4">
        <f t="shared" si="8"/>
        <v>10</v>
      </c>
      <c r="U78" s="27"/>
      <c r="X78" s="4">
        <v>140</v>
      </c>
      <c r="Y78" s="4">
        <v>585</v>
      </c>
      <c r="Z78" s="4">
        <f>Y78-X78</f>
        <v>445</v>
      </c>
      <c r="AB78" t="s">
        <v>92</v>
      </c>
      <c r="AL78" s="27"/>
      <c r="AO78" s="4">
        <v>140</v>
      </c>
      <c r="AP78" s="4">
        <v>585</v>
      </c>
      <c r="AQ78" s="4">
        <f>AP78-AO78</f>
        <v>445</v>
      </c>
    </row>
    <row r="79" spans="1:53">
      <c r="C79" s="4">
        <v>25</v>
      </c>
      <c r="E79" s="4">
        <v>43</v>
      </c>
      <c r="G79" s="4">
        <f t="shared" si="8"/>
        <v>18</v>
      </c>
      <c r="U79" s="27"/>
      <c r="X79" s="4">
        <v>150</v>
      </c>
      <c r="Y79" s="4">
        <v>264</v>
      </c>
      <c r="Z79" s="4">
        <f t="shared" ref="Z79:Z89" si="9">Y79-X79</f>
        <v>114</v>
      </c>
      <c r="AB79" t="s">
        <v>86</v>
      </c>
      <c r="AD79">
        <v>6</v>
      </c>
      <c r="AL79" s="27"/>
      <c r="AO79" s="4">
        <v>150</v>
      </c>
      <c r="AP79" s="4">
        <v>264</v>
      </c>
      <c r="AQ79" s="4">
        <f t="shared" ref="AQ79:AQ89" si="10">AP79-AO79</f>
        <v>114</v>
      </c>
      <c r="AS79" t="s">
        <v>86</v>
      </c>
      <c r="AU79">
        <v>3</v>
      </c>
    </row>
    <row r="80" spans="1:53">
      <c r="A80" t="s">
        <v>22</v>
      </c>
      <c r="C80" s="4">
        <v>25</v>
      </c>
      <c r="E80" s="4">
        <v>39</v>
      </c>
      <c r="G80" s="4">
        <f t="shared" si="8"/>
        <v>14</v>
      </c>
      <c r="U80" s="27"/>
      <c r="X80" s="4">
        <v>200</v>
      </c>
      <c r="Y80" s="4">
        <v>624</v>
      </c>
      <c r="Z80" s="4">
        <f t="shared" si="9"/>
        <v>424</v>
      </c>
      <c r="AB80" t="s">
        <v>87</v>
      </c>
      <c r="AD80">
        <v>1</v>
      </c>
      <c r="AL80" s="27"/>
      <c r="AO80" s="4">
        <v>200</v>
      </c>
      <c r="AP80" s="4">
        <v>624</v>
      </c>
      <c r="AQ80" s="4">
        <f t="shared" si="10"/>
        <v>424</v>
      </c>
      <c r="AS80" t="s">
        <v>87</v>
      </c>
      <c r="AU80">
        <v>1</v>
      </c>
    </row>
    <row r="81" spans="1:53">
      <c r="C81" s="4">
        <v>23</v>
      </c>
      <c r="E81" s="4">
        <v>80</v>
      </c>
      <c r="G81" s="4">
        <f t="shared" si="8"/>
        <v>57</v>
      </c>
      <c r="U81" s="27"/>
      <c r="X81" s="4">
        <v>150</v>
      </c>
      <c r="Y81" s="4">
        <v>449</v>
      </c>
      <c r="Z81" s="4">
        <f t="shared" si="9"/>
        <v>299</v>
      </c>
      <c r="AB81" t="s">
        <v>88</v>
      </c>
      <c r="AD81">
        <v>0</v>
      </c>
      <c r="AL81" s="27"/>
      <c r="AO81" s="4">
        <v>150</v>
      </c>
      <c r="AP81" s="4">
        <v>449</v>
      </c>
      <c r="AQ81" s="4">
        <f t="shared" si="10"/>
        <v>299</v>
      </c>
      <c r="AS81" t="s">
        <v>88</v>
      </c>
      <c r="AU81">
        <v>1</v>
      </c>
    </row>
    <row r="82" spans="1:53">
      <c r="A82" t="s">
        <v>27</v>
      </c>
      <c r="C82" s="4">
        <v>23</v>
      </c>
      <c r="E82" s="4">
        <v>16</v>
      </c>
      <c r="G82" s="4">
        <f t="shared" si="8"/>
        <v>-7</v>
      </c>
      <c r="U82" s="27"/>
      <c r="X82" s="4">
        <v>140</v>
      </c>
      <c r="Y82" s="4">
        <v>372</v>
      </c>
      <c r="Z82" s="4">
        <f t="shared" si="9"/>
        <v>232</v>
      </c>
      <c r="AB82" t="s">
        <v>89</v>
      </c>
      <c r="AD82">
        <v>5</v>
      </c>
      <c r="AL82" s="27"/>
      <c r="AO82" s="4">
        <v>140</v>
      </c>
      <c r="AP82" s="4">
        <v>372</v>
      </c>
      <c r="AQ82" s="4">
        <f t="shared" si="10"/>
        <v>232</v>
      </c>
      <c r="AS82" t="s">
        <v>89</v>
      </c>
      <c r="AU82">
        <v>7</v>
      </c>
    </row>
    <row r="83" spans="1:53">
      <c r="C83" s="4">
        <v>20</v>
      </c>
      <c r="E83" s="4">
        <v>44</v>
      </c>
      <c r="G83" s="4">
        <f t="shared" si="8"/>
        <v>24</v>
      </c>
      <c r="U83" s="27"/>
      <c r="X83" s="4">
        <v>220</v>
      </c>
      <c r="Y83" s="4">
        <v>1518</v>
      </c>
      <c r="Z83" s="4">
        <f t="shared" si="9"/>
        <v>1298</v>
      </c>
      <c r="AH83" t="s">
        <v>107</v>
      </c>
      <c r="AL83" s="27"/>
      <c r="AO83" s="4">
        <v>220</v>
      </c>
      <c r="AP83" s="4">
        <v>1518</v>
      </c>
      <c r="AQ83" s="4">
        <f t="shared" si="10"/>
        <v>1298</v>
      </c>
    </row>
    <row r="84" spans="1:53">
      <c r="A84" t="s">
        <v>25</v>
      </c>
      <c r="C84" s="4">
        <v>20</v>
      </c>
      <c r="E84" s="4">
        <v>7</v>
      </c>
      <c r="G84" s="4">
        <f t="shared" si="8"/>
        <v>-13</v>
      </c>
      <c r="U84" s="27"/>
      <c r="X84" s="4">
        <v>200</v>
      </c>
      <c r="Y84" s="4">
        <v>1215</v>
      </c>
      <c r="Z84" s="4">
        <f t="shared" si="9"/>
        <v>1015</v>
      </c>
      <c r="AB84" t="s">
        <v>63</v>
      </c>
      <c r="AD84" s="25">
        <f>6/7</f>
        <v>0.8571428571428571</v>
      </c>
      <c r="AE84" t="s">
        <v>93</v>
      </c>
      <c r="AH84" t="s">
        <v>106</v>
      </c>
      <c r="AL84" s="27"/>
      <c r="AO84" s="4">
        <v>200</v>
      </c>
      <c r="AP84" s="4">
        <v>1215</v>
      </c>
      <c r="AQ84" s="4">
        <f t="shared" si="10"/>
        <v>1015</v>
      </c>
      <c r="AS84" t="s">
        <v>63</v>
      </c>
      <c r="AU84" s="25">
        <f>3/4</f>
        <v>0.75</v>
      </c>
      <c r="AX84" t="s">
        <v>112</v>
      </c>
      <c r="AZ84" s="6">
        <f>4/12</f>
        <v>0.33333333333333331</v>
      </c>
    </row>
    <row r="85" spans="1:53">
      <c r="C85" s="4">
        <v>20</v>
      </c>
      <c r="E85" s="4">
        <v>67</v>
      </c>
      <c r="G85" s="4">
        <f t="shared" si="8"/>
        <v>47</v>
      </c>
      <c r="U85" s="27"/>
      <c r="W85" t="s">
        <v>91</v>
      </c>
      <c r="X85" s="4">
        <v>170</v>
      </c>
      <c r="Y85" s="4">
        <v>644</v>
      </c>
      <c r="Z85" s="4">
        <f t="shared" si="9"/>
        <v>474</v>
      </c>
      <c r="AB85" t="s">
        <v>64</v>
      </c>
      <c r="AD85" s="25">
        <v>0</v>
      </c>
      <c r="AE85" t="s">
        <v>65</v>
      </c>
      <c r="AL85" s="27"/>
      <c r="AO85" s="4">
        <v>170</v>
      </c>
      <c r="AP85" s="4">
        <v>644</v>
      </c>
      <c r="AQ85" s="4">
        <f t="shared" si="10"/>
        <v>474</v>
      </c>
      <c r="AS85" t="s">
        <v>64</v>
      </c>
      <c r="AU85" s="6">
        <f>1/8</f>
        <v>0.125</v>
      </c>
      <c r="AX85" t="s">
        <v>113</v>
      </c>
      <c r="AZ85" s="6">
        <f>8/12</f>
        <v>0.66666666666666663</v>
      </c>
    </row>
    <row r="86" spans="1:53">
      <c r="A86" t="s">
        <v>25</v>
      </c>
      <c r="C86" s="4">
        <v>20</v>
      </c>
      <c r="E86" s="4">
        <v>11</v>
      </c>
      <c r="G86" s="4">
        <f t="shared" si="8"/>
        <v>-9</v>
      </c>
      <c r="U86" s="27"/>
      <c r="W86" t="s">
        <v>91</v>
      </c>
      <c r="X86" s="4">
        <v>170</v>
      </c>
      <c r="Y86" s="4">
        <v>715</v>
      </c>
      <c r="Z86" s="4">
        <f t="shared" si="9"/>
        <v>545</v>
      </c>
      <c r="AL86" s="27"/>
      <c r="AO86" s="4">
        <v>170</v>
      </c>
      <c r="AP86" s="4">
        <v>715</v>
      </c>
      <c r="AQ86" s="4">
        <f t="shared" si="10"/>
        <v>545</v>
      </c>
    </row>
    <row r="87" spans="1:53">
      <c r="C87" s="4">
        <v>20</v>
      </c>
      <c r="E87" s="4">
        <v>86</v>
      </c>
      <c r="G87" s="4">
        <f t="shared" si="8"/>
        <v>66</v>
      </c>
      <c r="U87" s="27"/>
      <c r="W87" t="s">
        <v>91</v>
      </c>
      <c r="X87" s="4">
        <v>170</v>
      </c>
      <c r="Y87" s="4">
        <v>774</v>
      </c>
      <c r="Z87" s="4">
        <f t="shared" si="9"/>
        <v>604</v>
      </c>
      <c r="AB87" t="s">
        <v>82</v>
      </c>
      <c r="AE87" s="26">
        <f>SUM(Z78:Z89)</f>
        <v>7029</v>
      </c>
      <c r="AL87" s="27"/>
      <c r="AO87" s="4">
        <v>170</v>
      </c>
      <c r="AP87" s="4">
        <v>774</v>
      </c>
      <c r="AQ87" s="4">
        <f t="shared" si="10"/>
        <v>604</v>
      </c>
      <c r="AS87" t="s">
        <v>82</v>
      </c>
      <c r="AV87" s="26">
        <f>SUM(AQ78:AQ89)</f>
        <v>7029</v>
      </c>
    </row>
    <row r="88" spans="1:53">
      <c r="A88" t="s">
        <v>25</v>
      </c>
      <c r="C88" s="4">
        <v>20</v>
      </c>
      <c r="E88" s="4">
        <v>3</v>
      </c>
      <c r="G88" s="4">
        <f t="shared" si="8"/>
        <v>-17</v>
      </c>
      <c r="U88" s="27"/>
      <c r="X88" s="4">
        <v>250</v>
      </c>
      <c r="Y88" s="4">
        <v>1441</v>
      </c>
      <c r="Z88" s="4">
        <f t="shared" si="9"/>
        <v>1191</v>
      </c>
      <c r="AB88" t="s">
        <v>54</v>
      </c>
      <c r="AE88" s="26">
        <f>SUM(X78:X89)</f>
        <v>2090</v>
      </c>
      <c r="AL88" s="27"/>
      <c r="AO88" s="4">
        <v>250</v>
      </c>
      <c r="AP88" s="4">
        <v>1441</v>
      </c>
      <c r="AQ88" s="4">
        <f t="shared" si="10"/>
        <v>1191</v>
      </c>
      <c r="AS88" t="s">
        <v>54</v>
      </c>
      <c r="AV88" s="26">
        <f>SUM(AO78:AO89)</f>
        <v>2090</v>
      </c>
    </row>
    <row r="89" spans="1:53">
      <c r="C89" s="4">
        <v>20</v>
      </c>
      <c r="E89" s="4">
        <v>41</v>
      </c>
      <c r="G89" s="4">
        <f t="shared" si="8"/>
        <v>21</v>
      </c>
      <c r="U89" s="27"/>
      <c r="X89" s="4">
        <v>130</v>
      </c>
      <c r="Y89" s="4">
        <v>518</v>
      </c>
      <c r="Z89" s="4">
        <f t="shared" si="9"/>
        <v>388</v>
      </c>
      <c r="AG89" t="s">
        <v>62</v>
      </c>
      <c r="AL89" s="27"/>
      <c r="AO89" s="4">
        <v>130</v>
      </c>
      <c r="AP89" s="4">
        <v>518</v>
      </c>
      <c r="AQ89" s="4">
        <f t="shared" si="10"/>
        <v>388</v>
      </c>
      <c r="AX89" t="s">
        <v>62</v>
      </c>
    </row>
    <row r="90" spans="1:53">
      <c r="C90" s="4">
        <v>18</v>
      </c>
      <c r="E90" s="4">
        <v>40</v>
      </c>
      <c r="G90" s="4">
        <f t="shared" si="8"/>
        <v>22</v>
      </c>
      <c r="U90" s="27"/>
      <c r="AB90" t="s">
        <v>83</v>
      </c>
      <c r="AE90" s="26">
        <f>Z80+SUM(Z83:Z88)</f>
        <v>5551</v>
      </c>
      <c r="AG90" t="s">
        <v>68</v>
      </c>
      <c r="AI90" s="6">
        <f>AE90/AE87</f>
        <v>0.78972826860150802</v>
      </c>
      <c r="AL90" s="27"/>
      <c r="AS90" t="s">
        <v>83</v>
      </c>
      <c r="AV90" s="26">
        <f>AQ80+AQ84+AQ83+AQ88</f>
        <v>3928</v>
      </c>
      <c r="AX90" t="s">
        <v>68</v>
      </c>
      <c r="AZ90" s="6">
        <f>AV90/AV87</f>
        <v>0.55882771375729123</v>
      </c>
    </row>
    <row r="91" spans="1:53">
      <c r="C91" s="4">
        <v>18</v>
      </c>
      <c r="E91" s="4">
        <v>103</v>
      </c>
      <c r="G91" s="4">
        <f t="shared" si="8"/>
        <v>85</v>
      </c>
      <c r="U91" s="27"/>
      <c r="AB91" t="s">
        <v>84</v>
      </c>
      <c r="AE91" s="26">
        <f>Z78+Z79+Z81+Z82+Z89</f>
        <v>1478</v>
      </c>
      <c r="AG91" t="s">
        <v>69</v>
      </c>
      <c r="AI91" s="6">
        <f>AE91/AE87</f>
        <v>0.21027173139849195</v>
      </c>
      <c r="AL91" s="27"/>
      <c r="AS91" t="s">
        <v>84</v>
      </c>
      <c r="AV91" s="26">
        <f>AQ78+AQ79+AQ81+AQ82+AQ85+AQ86+AQ87+AQ89</f>
        <v>3101</v>
      </c>
      <c r="AX91" t="s">
        <v>69</v>
      </c>
      <c r="AZ91" s="6">
        <f>AV91/AV87</f>
        <v>0.44117228624270877</v>
      </c>
    </row>
    <row r="92" spans="1:53">
      <c r="A92" t="s">
        <v>21</v>
      </c>
      <c r="C92" s="4">
        <v>16</v>
      </c>
      <c r="E92" s="4">
        <v>2</v>
      </c>
      <c r="G92" s="4">
        <f t="shared" si="8"/>
        <v>-14</v>
      </c>
      <c r="U92" s="27"/>
      <c r="AL92" s="27"/>
    </row>
    <row r="93" spans="1:53">
      <c r="C93" s="4">
        <v>15</v>
      </c>
      <c r="E93" s="4">
        <v>53</v>
      </c>
      <c r="G93" s="4">
        <f t="shared" si="8"/>
        <v>38</v>
      </c>
      <c r="U93" s="27"/>
      <c r="AB93" t="s">
        <v>56</v>
      </c>
      <c r="AE93" s="26">
        <f>X80+SUM(X83:X88)</f>
        <v>1380</v>
      </c>
      <c r="AG93" t="s">
        <v>59</v>
      </c>
      <c r="AI93" s="6">
        <f>AE93/AE88</f>
        <v>0.66028708133971292</v>
      </c>
      <c r="AJ93" t="s">
        <v>70</v>
      </c>
      <c r="AL93" s="27"/>
      <c r="AS93" t="s">
        <v>56</v>
      </c>
      <c r="AV93" s="26">
        <f>AO80+AO83+AO84+AO88</f>
        <v>870</v>
      </c>
      <c r="AX93" t="s">
        <v>59</v>
      </c>
      <c r="AZ93" s="6">
        <f>AV93/AV88</f>
        <v>0.41626794258373206</v>
      </c>
      <c r="BA93" t="s">
        <v>70</v>
      </c>
    </row>
    <row r="94" spans="1:53">
      <c r="C94" s="4">
        <v>15</v>
      </c>
      <c r="E94" s="4">
        <v>124</v>
      </c>
      <c r="G94" s="4">
        <f t="shared" si="8"/>
        <v>109</v>
      </c>
      <c r="U94" s="27"/>
      <c r="AB94" t="s">
        <v>55</v>
      </c>
      <c r="AE94" s="26">
        <f>X78+X79+X81+X82+X89</f>
        <v>710</v>
      </c>
      <c r="AG94" t="s">
        <v>59</v>
      </c>
      <c r="AI94" s="6">
        <f>AE94/AE88</f>
        <v>0.33971291866028708</v>
      </c>
      <c r="AJ94" t="s">
        <v>60</v>
      </c>
      <c r="AL94" s="27"/>
      <c r="AS94" t="s">
        <v>55</v>
      </c>
      <c r="AV94" s="26">
        <f>AO78+AO79+AO81+AO82+AO85+AO86+AO87+AO89</f>
        <v>1220</v>
      </c>
      <c r="AX94" t="s">
        <v>59</v>
      </c>
      <c r="AZ94" s="6">
        <f>AV94/AV88</f>
        <v>0.58373205741626799</v>
      </c>
      <c r="BA94" t="s">
        <v>60</v>
      </c>
    </row>
    <row r="95" spans="1:53">
      <c r="U95" s="27"/>
      <c r="AL95" s="27"/>
    </row>
    <row r="96" spans="1:53">
      <c r="U96" s="27"/>
      <c r="AL96" s="27"/>
    </row>
    <row r="97" spans="21:48">
      <c r="U97" s="27"/>
      <c r="AD97" t="s">
        <v>71</v>
      </c>
      <c r="AL97" s="27"/>
      <c r="AU97" t="s">
        <v>71</v>
      </c>
    </row>
    <row r="98" spans="21:48">
      <c r="U98" s="27"/>
      <c r="AD98" t="s">
        <v>60</v>
      </c>
      <c r="AE98" s="6">
        <f>AE91/AE94</f>
        <v>2.0816901408450703</v>
      </c>
      <c r="AL98" s="27"/>
      <c r="AU98" t="s">
        <v>60</v>
      </c>
      <c r="AV98" s="6">
        <f>AV91/AV94</f>
        <v>2.5418032786885245</v>
      </c>
    </row>
    <row r="99" spans="21:48">
      <c r="U99" s="27"/>
      <c r="AD99" s="7" t="s">
        <v>61</v>
      </c>
      <c r="AE99" s="33">
        <f>AE90/AE93</f>
        <v>4.0224637681159416</v>
      </c>
      <c r="AL99" s="27"/>
      <c r="AU99" s="7" t="s">
        <v>61</v>
      </c>
      <c r="AV99" s="33">
        <f>AV90/AV93</f>
        <v>4.5149425287356326</v>
      </c>
    </row>
    <row r="100" spans="21:48">
      <c r="U100" s="27"/>
      <c r="AL100" s="27"/>
    </row>
    <row r="101" spans="21:48">
      <c r="U101" s="27"/>
      <c r="W101" t="s">
        <v>94</v>
      </c>
      <c r="AL101" s="27"/>
    </row>
    <row r="102" spans="21:48">
      <c r="U102" s="27"/>
      <c r="X102" t="s">
        <v>45</v>
      </c>
      <c r="Y102" t="s">
        <v>79</v>
      </c>
      <c r="Z102" t="s">
        <v>62</v>
      </c>
      <c r="AB102" t="s">
        <v>97</v>
      </c>
      <c r="AL102" s="27"/>
      <c r="AM102" t="s">
        <v>94</v>
      </c>
      <c r="AU102" s="6"/>
    </row>
    <row r="103" spans="21:48">
      <c r="U103" s="27"/>
      <c r="X103">
        <v>0.8</v>
      </c>
      <c r="Y103">
        <v>115</v>
      </c>
      <c r="Z103">
        <f>Y103-X103</f>
        <v>114.2</v>
      </c>
      <c r="AB103" t="s">
        <v>96</v>
      </c>
      <c r="AL103" s="27"/>
      <c r="AN103" t="s">
        <v>45</v>
      </c>
      <c r="AO103" t="s">
        <v>79</v>
      </c>
      <c r="AP103" t="s">
        <v>62</v>
      </c>
      <c r="AU103" s="6"/>
    </row>
    <row r="104" spans="21:48">
      <c r="U104" s="27"/>
      <c r="X104">
        <v>11</v>
      </c>
      <c r="Y104" s="8">
        <v>775</v>
      </c>
      <c r="Z104">
        <f t="shared" ref="Z104:Z121" si="11">Y104-X104</f>
        <v>764</v>
      </c>
      <c r="AB104" t="s">
        <v>86</v>
      </c>
      <c r="AD104">
        <v>9</v>
      </c>
      <c r="AL104" s="27"/>
      <c r="AN104">
        <v>0.8</v>
      </c>
      <c r="AO104">
        <v>115</v>
      </c>
      <c r="AP104">
        <f t="shared" ref="AP104:AP122" si="12">AO104-AN104</f>
        <v>114.2</v>
      </c>
    </row>
    <row r="105" spans="21:48">
      <c r="U105" s="27"/>
      <c r="X105">
        <v>18</v>
      </c>
      <c r="Y105" s="8">
        <v>539</v>
      </c>
      <c r="Z105">
        <f t="shared" si="11"/>
        <v>521</v>
      </c>
      <c r="AB105" t="s">
        <v>87</v>
      </c>
      <c r="AD105">
        <v>1</v>
      </c>
      <c r="AL105" s="27"/>
      <c r="AN105">
        <v>11</v>
      </c>
      <c r="AO105" s="8">
        <v>775</v>
      </c>
      <c r="AP105">
        <f t="shared" si="12"/>
        <v>764</v>
      </c>
      <c r="AR105" t="s">
        <v>86</v>
      </c>
      <c r="AT105">
        <v>4</v>
      </c>
    </row>
    <row r="106" spans="21:48">
      <c r="U106" s="27"/>
      <c r="X106">
        <v>18</v>
      </c>
      <c r="Y106" s="8">
        <v>390</v>
      </c>
      <c r="Z106">
        <f t="shared" si="11"/>
        <v>372</v>
      </c>
      <c r="AB106" t="s">
        <v>88</v>
      </c>
      <c r="AD106">
        <v>1</v>
      </c>
      <c r="AL106" s="27"/>
      <c r="AN106">
        <v>18</v>
      </c>
      <c r="AO106" s="8">
        <v>539</v>
      </c>
      <c r="AP106">
        <f t="shared" si="12"/>
        <v>521</v>
      </c>
      <c r="AR106" t="s">
        <v>87</v>
      </c>
      <c r="AT106">
        <v>0</v>
      </c>
    </row>
    <row r="107" spans="21:48">
      <c r="U107" s="27"/>
      <c r="X107">
        <v>33</v>
      </c>
      <c r="Y107" s="8">
        <v>475</v>
      </c>
      <c r="Z107">
        <f t="shared" si="11"/>
        <v>442</v>
      </c>
      <c r="AB107" t="s">
        <v>89</v>
      </c>
      <c r="AD107">
        <v>9</v>
      </c>
      <c r="AL107" s="27"/>
      <c r="AN107">
        <v>18</v>
      </c>
      <c r="AO107" s="2">
        <v>390</v>
      </c>
      <c r="AP107">
        <f t="shared" si="12"/>
        <v>372</v>
      </c>
      <c r="AR107" t="s">
        <v>88</v>
      </c>
      <c r="AT107">
        <v>4</v>
      </c>
    </row>
    <row r="108" spans="21:48">
      <c r="U108" s="27"/>
      <c r="X108">
        <v>28</v>
      </c>
      <c r="Y108" s="8">
        <v>333</v>
      </c>
      <c r="Z108">
        <f t="shared" si="11"/>
        <v>305</v>
      </c>
      <c r="AH108" t="s">
        <v>100</v>
      </c>
      <c r="AL108" s="27"/>
      <c r="AN108">
        <v>33</v>
      </c>
      <c r="AO108" s="8">
        <v>475</v>
      </c>
      <c r="AP108">
        <f t="shared" si="12"/>
        <v>442</v>
      </c>
      <c r="AR108" t="s">
        <v>89</v>
      </c>
      <c r="AT108">
        <v>7</v>
      </c>
    </row>
    <row r="109" spans="21:48">
      <c r="U109" s="27"/>
      <c r="X109" s="28" t="s">
        <v>95</v>
      </c>
      <c r="Y109">
        <v>13</v>
      </c>
      <c r="AB109" t="s">
        <v>63</v>
      </c>
      <c r="AD109" s="25">
        <f>9/10</f>
        <v>0.9</v>
      </c>
      <c r="AE109" t="s">
        <v>99</v>
      </c>
      <c r="AH109" t="s">
        <v>108</v>
      </c>
      <c r="AL109" s="27"/>
      <c r="AN109">
        <v>28</v>
      </c>
      <c r="AO109" s="2">
        <v>333</v>
      </c>
      <c r="AP109">
        <f t="shared" si="12"/>
        <v>305</v>
      </c>
    </row>
    <row r="110" spans="21:48">
      <c r="U110" s="27"/>
      <c r="X110">
        <v>37</v>
      </c>
      <c r="Y110">
        <v>38</v>
      </c>
      <c r="Z110">
        <f t="shared" si="11"/>
        <v>1</v>
      </c>
      <c r="AB110" t="s">
        <v>64</v>
      </c>
      <c r="AD110" s="29">
        <v>1.11111111111111E-3</v>
      </c>
      <c r="AE110" t="s">
        <v>98</v>
      </c>
      <c r="AH110" t="s">
        <v>109</v>
      </c>
      <c r="AL110" s="27"/>
      <c r="AN110" s="28" t="s">
        <v>95</v>
      </c>
      <c r="AO110">
        <v>13</v>
      </c>
      <c r="AP110" t="e">
        <f t="shared" si="12"/>
        <v>#VALUE!</v>
      </c>
      <c r="AR110" t="s">
        <v>63</v>
      </c>
      <c r="AT110" s="25">
        <v>1</v>
      </c>
    </row>
    <row r="111" spans="21:48">
      <c r="U111" s="27"/>
      <c r="X111" t="s">
        <v>95</v>
      </c>
      <c r="Y111">
        <v>57</v>
      </c>
      <c r="AL111" s="27"/>
      <c r="AN111">
        <v>37</v>
      </c>
      <c r="AO111">
        <v>38</v>
      </c>
      <c r="AP111">
        <f t="shared" si="12"/>
        <v>1</v>
      </c>
      <c r="AR111" t="s">
        <v>64</v>
      </c>
      <c r="AT111" s="29">
        <v>0.36363636363636298</v>
      </c>
    </row>
    <row r="112" spans="21:48">
      <c r="U112" s="27"/>
      <c r="X112" t="s">
        <v>95</v>
      </c>
      <c r="Y112">
        <v>20</v>
      </c>
      <c r="AB112" t="s">
        <v>82</v>
      </c>
      <c r="AE112" s="26">
        <f>SUM(Z103:Z121)</f>
        <v>5908.2</v>
      </c>
      <c r="AL112" s="27"/>
      <c r="AN112" t="s">
        <v>95</v>
      </c>
      <c r="AO112">
        <v>57</v>
      </c>
      <c r="AP112" t="e">
        <f t="shared" si="12"/>
        <v>#VALUE!</v>
      </c>
    </row>
    <row r="113" spans="21:52">
      <c r="U113" s="27"/>
      <c r="X113">
        <v>12</v>
      </c>
      <c r="Y113">
        <v>84</v>
      </c>
      <c r="Z113">
        <f t="shared" si="11"/>
        <v>72</v>
      </c>
      <c r="AB113" t="s">
        <v>54</v>
      </c>
      <c r="AE113" s="26">
        <f>SUM(X103:X114)</f>
        <v>205.8</v>
      </c>
      <c r="AL113" s="27"/>
      <c r="AN113" t="s">
        <v>95</v>
      </c>
      <c r="AO113">
        <v>20</v>
      </c>
      <c r="AP113" t="e">
        <f t="shared" si="12"/>
        <v>#VALUE!</v>
      </c>
      <c r="AR113" t="s">
        <v>82</v>
      </c>
      <c r="AU113" s="26">
        <f>SUM(AP104:AP109)+AP111+SUM(AP114:AP115)+SUM(AP117:AP122)</f>
        <v>5908.2</v>
      </c>
    </row>
    <row r="114" spans="21:52">
      <c r="U114" s="27"/>
      <c r="X114">
        <v>48</v>
      </c>
      <c r="Y114" s="8">
        <v>474</v>
      </c>
      <c r="Z114">
        <f t="shared" si="11"/>
        <v>426</v>
      </c>
      <c r="AG114" t="s">
        <v>62</v>
      </c>
      <c r="AL114" s="27"/>
      <c r="AN114">
        <v>12</v>
      </c>
      <c r="AO114">
        <v>84</v>
      </c>
      <c r="AP114">
        <f t="shared" si="12"/>
        <v>72</v>
      </c>
      <c r="AR114" t="s">
        <v>54</v>
      </c>
      <c r="AU114" s="26">
        <f>SUM(AN104:AN115)+SUM(AN117:AN122)</f>
        <v>747.8</v>
      </c>
    </row>
    <row r="115" spans="21:52">
      <c r="U115" s="27"/>
      <c r="X115" t="s">
        <v>95</v>
      </c>
      <c r="Y115">
        <v>1</v>
      </c>
      <c r="AB115" t="s">
        <v>83</v>
      </c>
      <c r="AE115" s="26">
        <f>Z105+SUM(Z108:Z113)</f>
        <v>899</v>
      </c>
      <c r="AG115" t="s">
        <v>68</v>
      </c>
      <c r="AI115" s="6">
        <f>AE115/AE112</f>
        <v>0.15216140279611387</v>
      </c>
      <c r="AL115" s="27"/>
      <c r="AN115">
        <v>48</v>
      </c>
      <c r="AO115" s="8">
        <v>474</v>
      </c>
      <c r="AP115">
        <f t="shared" si="12"/>
        <v>426</v>
      </c>
      <c r="AW115" t="s">
        <v>62</v>
      </c>
    </row>
    <row r="116" spans="21:52">
      <c r="U116" s="27"/>
      <c r="X116">
        <v>115</v>
      </c>
      <c r="Y116" s="8">
        <v>1028</v>
      </c>
      <c r="Z116">
        <f t="shared" si="11"/>
        <v>913</v>
      </c>
      <c r="AB116" t="s">
        <v>84</v>
      </c>
      <c r="AE116" s="26">
        <f>Z103+Z104+Z106+Z107+Z114</f>
        <v>2118.1999999999998</v>
      </c>
      <c r="AG116" t="s">
        <v>69</v>
      </c>
      <c r="AI116" s="6">
        <f>AE116/AE112</f>
        <v>0.35851866896855217</v>
      </c>
      <c r="AL116" s="27"/>
      <c r="AN116" t="s">
        <v>95</v>
      </c>
      <c r="AO116">
        <v>1</v>
      </c>
      <c r="AP116" t="e">
        <f t="shared" si="12"/>
        <v>#VALUE!</v>
      </c>
      <c r="AR116" t="s">
        <v>83</v>
      </c>
      <c r="AU116" s="26">
        <f>SUM(AP117:AP120)</f>
        <v>2786</v>
      </c>
      <c r="AW116" t="s">
        <v>68</v>
      </c>
      <c r="AY116" s="6">
        <f>AU116/AU113</f>
        <v>0.47154801800886903</v>
      </c>
    </row>
    <row r="117" spans="21:52">
      <c r="U117" s="27"/>
      <c r="X117">
        <v>115</v>
      </c>
      <c r="Y117" s="8">
        <v>650</v>
      </c>
      <c r="Z117">
        <f t="shared" si="11"/>
        <v>535</v>
      </c>
      <c r="AL117" s="27"/>
      <c r="AN117">
        <v>115</v>
      </c>
      <c r="AO117" s="8">
        <v>1028</v>
      </c>
      <c r="AP117">
        <f t="shared" si="12"/>
        <v>913</v>
      </c>
      <c r="AR117" t="s">
        <v>84</v>
      </c>
      <c r="AU117" s="26">
        <f>SUM(AP104:AP109)+AP111+AP114+AP115+SUM(AP121:AP122)</f>
        <v>3122.2</v>
      </c>
      <c r="AW117" t="s">
        <v>69</v>
      </c>
      <c r="AY117" s="6">
        <f>AU117/AU113</f>
        <v>0.52845198199113097</v>
      </c>
    </row>
    <row r="118" spans="21:52">
      <c r="U118" s="27"/>
      <c r="X118">
        <v>113</v>
      </c>
      <c r="Y118" s="8">
        <v>849</v>
      </c>
      <c r="Z118">
        <f t="shared" si="11"/>
        <v>736</v>
      </c>
      <c r="AB118" t="s">
        <v>56</v>
      </c>
      <c r="AE118" s="26">
        <f>X105+SUM(X108:X113)</f>
        <v>95</v>
      </c>
      <c r="AG118" t="s">
        <v>59</v>
      </c>
      <c r="AI118" s="6">
        <f>AE118/AE113</f>
        <v>0.46161321671525751</v>
      </c>
      <c r="AJ118" t="s">
        <v>70</v>
      </c>
      <c r="AL118" s="27"/>
      <c r="AN118">
        <v>115</v>
      </c>
      <c r="AO118" s="8">
        <v>650</v>
      </c>
      <c r="AP118">
        <f t="shared" si="12"/>
        <v>535</v>
      </c>
    </row>
    <row r="119" spans="21:52">
      <c r="U119" s="27"/>
      <c r="X119">
        <v>185</v>
      </c>
      <c r="Y119" s="8">
        <v>787</v>
      </c>
      <c r="Z119">
        <f t="shared" si="11"/>
        <v>602</v>
      </c>
      <c r="AB119" t="s">
        <v>55</v>
      </c>
      <c r="AE119" s="26">
        <f>X103+X104+X106+X107+X114</f>
        <v>110.8</v>
      </c>
      <c r="AG119" t="s">
        <v>59</v>
      </c>
      <c r="AI119" s="6">
        <f>AE119/AE113</f>
        <v>0.53838678328474243</v>
      </c>
      <c r="AJ119" t="s">
        <v>60</v>
      </c>
      <c r="AL119" s="27"/>
      <c r="AN119">
        <v>113</v>
      </c>
      <c r="AO119" s="8">
        <v>849</v>
      </c>
      <c r="AP119">
        <f t="shared" si="12"/>
        <v>736</v>
      </c>
      <c r="AR119" t="s">
        <v>56</v>
      </c>
      <c r="AU119" s="26">
        <f>SUM(AN117:AN120)</f>
        <v>528</v>
      </c>
      <c r="AW119" t="s">
        <v>59</v>
      </c>
      <c r="AY119" s="6">
        <f>AU119/AU114</f>
        <v>0.70607114201658205</v>
      </c>
      <c r="AZ119" t="s">
        <v>70</v>
      </c>
    </row>
    <row r="120" spans="21:52">
      <c r="U120" s="27"/>
      <c r="X120">
        <v>9</v>
      </c>
      <c r="Y120">
        <v>68</v>
      </c>
      <c r="Z120">
        <f t="shared" si="11"/>
        <v>59</v>
      </c>
      <c r="AL120" s="27"/>
      <c r="AN120">
        <v>185</v>
      </c>
      <c r="AO120" s="8">
        <v>787</v>
      </c>
      <c r="AP120">
        <f t="shared" si="12"/>
        <v>602</v>
      </c>
      <c r="AR120" t="s">
        <v>55</v>
      </c>
      <c r="AU120" s="26">
        <f>SUM(AN104:AN109)+AN111+AN114+AN115+AN121+AN122</f>
        <v>219.8</v>
      </c>
      <c r="AW120" t="s">
        <v>59</v>
      </c>
      <c r="AY120" s="6">
        <f>AU120/AU114</f>
        <v>0.29392885798341806</v>
      </c>
      <c r="AZ120" t="s">
        <v>60</v>
      </c>
    </row>
    <row r="121" spans="21:52">
      <c r="U121" s="27"/>
      <c r="X121">
        <v>5</v>
      </c>
      <c r="Y121">
        <v>51</v>
      </c>
      <c r="Z121">
        <f t="shared" si="11"/>
        <v>46</v>
      </c>
      <c r="AL121" s="27"/>
      <c r="AN121">
        <v>9</v>
      </c>
      <c r="AO121">
        <v>68</v>
      </c>
      <c r="AP121">
        <f t="shared" si="12"/>
        <v>59</v>
      </c>
    </row>
    <row r="122" spans="21:52">
      <c r="U122" s="27"/>
      <c r="AD122" s="3" t="s">
        <v>71</v>
      </c>
      <c r="AE122" s="3"/>
      <c r="AL122" s="27"/>
      <c r="AN122">
        <v>5</v>
      </c>
      <c r="AO122">
        <v>51</v>
      </c>
      <c r="AP122">
        <f t="shared" si="12"/>
        <v>46</v>
      </c>
    </row>
    <row r="123" spans="21:52">
      <c r="U123" s="27"/>
      <c r="AD123" s="3" t="s">
        <v>60</v>
      </c>
      <c r="AE123" s="32">
        <v>2.54</v>
      </c>
      <c r="AL123" s="27"/>
      <c r="AT123" t="s">
        <v>71</v>
      </c>
    </row>
    <row r="124" spans="21:52">
      <c r="U124" s="27"/>
      <c r="AD124" s="34" t="s">
        <v>61</v>
      </c>
      <c r="AE124" s="35">
        <v>4.51</v>
      </c>
      <c r="AL124" s="27"/>
      <c r="AT124" s="7" t="s">
        <v>60</v>
      </c>
      <c r="AU124" s="33">
        <f>AU117/AU120</f>
        <v>14.204731574158323</v>
      </c>
    </row>
    <row r="125" spans="21:52">
      <c r="U125" s="27"/>
      <c r="AL125" s="27"/>
      <c r="AT125" t="s">
        <v>61</v>
      </c>
      <c r="AU125" s="6">
        <f>AU116/AU119</f>
        <v>5.2765151515151514</v>
      </c>
    </row>
    <row r="126" spans="21:52">
      <c r="U126" s="27"/>
      <c r="AL126" s="27"/>
    </row>
    <row r="127" spans="21:52">
      <c r="U127" s="27"/>
      <c r="AL127" s="27"/>
    </row>
    <row r="128" spans="21:52">
      <c r="U128" s="27"/>
      <c r="AL128" s="27"/>
    </row>
    <row r="129" spans="21:38">
      <c r="U129" s="27"/>
      <c r="AL129" s="27"/>
    </row>
    <row r="130" spans="21:38">
      <c r="U130" s="27"/>
      <c r="AL130" s="27"/>
    </row>
    <row r="131" spans="21:38">
      <c r="U131" s="27"/>
      <c r="AL131" s="27"/>
    </row>
    <row r="132" spans="21:38">
      <c r="U132" s="27"/>
      <c r="AL132" s="27"/>
    </row>
    <row r="133" spans="21:38">
      <c r="U133" s="27"/>
      <c r="AL133" s="27"/>
    </row>
    <row r="134" spans="21:38">
      <c r="U134" s="27"/>
      <c r="AL134" s="27"/>
    </row>
    <row r="135" spans="21:38">
      <c r="U135" s="27"/>
      <c r="AL135" s="27"/>
    </row>
    <row r="136" spans="21:38">
      <c r="U136" s="27"/>
      <c r="AL136" s="27"/>
    </row>
    <row r="137" spans="21:38">
      <c r="U137" s="27"/>
      <c r="AL137" s="27"/>
    </row>
    <row r="138" spans="21:38">
      <c r="U138" s="27"/>
      <c r="AL138" s="27"/>
    </row>
    <row r="139" spans="21:38">
      <c r="U139" s="27"/>
      <c r="AL139" s="27"/>
    </row>
    <row r="140" spans="21:38">
      <c r="U140" s="27"/>
      <c r="AL140" s="27"/>
    </row>
    <row r="141" spans="21:38">
      <c r="U141" s="27"/>
      <c r="AL141" s="27"/>
    </row>
    <row r="142" spans="21:38">
      <c r="U142" s="27"/>
      <c r="AL142" s="27"/>
    </row>
    <row r="143" spans="21:38">
      <c r="U143" s="27"/>
      <c r="AL143" s="27"/>
    </row>
    <row r="144" spans="21:38">
      <c r="U144" s="27"/>
      <c r="AL144" s="27"/>
    </row>
    <row r="145" spans="21:38">
      <c r="U145" s="27"/>
      <c r="AL145" s="27"/>
    </row>
    <row r="146" spans="21:38">
      <c r="U146" s="27"/>
      <c r="AL146" s="27"/>
    </row>
    <row r="147" spans="21:38">
      <c r="U147" s="27"/>
      <c r="AL147" s="27"/>
    </row>
    <row r="148" spans="21:38">
      <c r="U148" s="27"/>
      <c r="AL148" s="27"/>
    </row>
    <row r="149" spans="21:38">
      <c r="U149" s="27"/>
      <c r="AL149" s="27"/>
    </row>
    <row r="150" spans="21:38">
      <c r="U150" s="27"/>
      <c r="AL150" s="27"/>
    </row>
    <row r="151" spans="21:38">
      <c r="U151" s="27"/>
      <c r="AL151" s="27"/>
    </row>
    <row r="152" spans="21:38">
      <c r="U152" s="27"/>
      <c r="AL152" s="27"/>
    </row>
    <row r="153" spans="21:38">
      <c r="U153" s="27"/>
      <c r="AL153" s="27"/>
    </row>
    <row r="154" spans="21:38">
      <c r="U154" s="27"/>
      <c r="AL154" s="27"/>
    </row>
    <row r="155" spans="21:38">
      <c r="U155" s="27"/>
      <c r="AL155" s="27"/>
    </row>
    <row r="156" spans="21:38">
      <c r="U156" s="27"/>
      <c r="AL156" s="27"/>
    </row>
    <row r="157" spans="21:38">
      <c r="U157" s="27"/>
      <c r="AL157" s="27"/>
    </row>
    <row r="158" spans="21:38">
      <c r="U158" s="27"/>
      <c r="AL158" s="27"/>
    </row>
    <row r="159" spans="21:38">
      <c r="U159" s="27"/>
      <c r="AL159" s="27"/>
    </row>
    <row r="160" spans="21:38">
      <c r="U160" s="27"/>
      <c r="AL160" s="27"/>
    </row>
    <row r="161" spans="21:38">
      <c r="U161" s="27"/>
      <c r="AL161" s="27"/>
    </row>
    <row r="162" spans="21:38">
      <c r="U162" s="27"/>
      <c r="AL162" s="27"/>
    </row>
    <row r="163" spans="21:38">
      <c r="U163" s="27"/>
      <c r="AL163" s="27"/>
    </row>
    <row r="164" spans="21:38">
      <c r="U164" s="27"/>
      <c r="AL164" s="27"/>
    </row>
    <row r="165" spans="21:38">
      <c r="U165" s="27"/>
      <c r="AL165" s="27"/>
    </row>
    <row r="166" spans="21:38">
      <c r="U166" s="27"/>
      <c r="AL166" s="27"/>
    </row>
    <row r="167" spans="21:38">
      <c r="U167" s="27"/>
      <c r="AL167" s="27"/>
    </row>
    <row r="168" spans="21:38">
      <c r="U168" s="27"/>
      <c r="AL168" s="27"/>
    </row>
    <row r="169" spans="21:38">
      <c r="U169" s="27"/>
      <c r="AL169" s="27"/>
    </row>
    <row r="170" spans="21:38">
      <c r="U170" s="27"/>
      <c r="AL170" s="27"/>
    </row>
    <row r="171" spans="21:38">
      <c r="U171" s="27"/>
      <c r="AL171" s="27"/>
    </row>
    <row r="172" spans="21:38">
      <c r="U172" s="27"/>
      <c r="AL172" s="27"/>
    </row>
    <row r="173" spans="21:38">
      <c r="U173" s="27"/>
      <c r="AL173" s="27"/>
    </row>
    <row r="174" spans="21:38">
      <c r="U174" s="27"/>
      <c r="AL174" s="27"/>
    </row>
    <row r="175" spans="21:38">
      <c r="U175" s="27"/>
      <c r="AL175" s="27"/>
    </row>
    <row r="176" spans="21:38">
      <c r="AL176" s="27"/>
    </row>
  </sheetData>
  <conditionalFormatting sqref="G2:G94">
    <cfRule type="top10" dxfId="33" priority="46" bottom="1" rank="20"/>
    <cfRule type="top10" dxfId="32" priority="47" rank="10"/>
    <cfRule type="top10" dxfId="31" priority="48" rank="20"/>
    <cfRule type="top10" dxfId="30" priority="49" rank="10"/>
    <cfRule type="top10" dxfId="29" priority="50" rank="20"/>
    <cfRule type="top10" dxfId="28" priority="51" bottom="1" rank="10"/>
    <cfRule type="top10" dxfId="27" priority="52" rank="10"/>
    <cfRule type="top10" dxfId="26" priority="53" rank="10"/>
    <cfRule type="cellIs" dxfId="25" priority="54" operator="greaterThan">
      <formula>1000</formula>
    </cfRule>
  </conditionalFormatting>
  <conditionalFormatting sqref="Z26:Z41">
    <cfRule type="top10" dxfId="24" priority="43" rank="8"/>
  </conditionalFormatting>
  <conditionalFormatting sqref="X26:X41">
    <cfRule type="top10" dxfId="23" priority="42" rank="8"/>
  </conditionalFormatting>
  <conditionalFormatting sqref="Z50:Z73">
    <cfRule type="top10" dxfId="22" priority="41" rank="12"/>
  </conditionalFormatting>
  <conditionalFormatting sqref="X50:X73">
    <cfRule type="top10" dxfId="21" priority="40" rank="12"/>
  </conditionalFormatting>
  <conditionalFormatting sqref="Z78:Z89">
    <cfRule type="top10" dxfId="20" priority="39" rank="6"/>
  </conditionalFormatting>
  <conditionalFormatting sqref="X78:X89">
    <cfRule type="top10" dxfId="19" priority="35" rank="5"/>
    <cfRule type="top10" dxfId="18" priority="36" rank="5"/>
    <cfRule type="top10" dxfId="17" priority="37" rank="6"/>
    <cfRule type="top10" dxfId="16" priority="38" rank="6"/>
  </conditionalFormatting>
  <conditionalFormatting sqref="Z103:Z121">
    <cfRule type="top10" dxfId="15" priority="33" rank="10"/>
    <cfRule type="top10" dxfId="14" priority="34" rank="9"/>
  </conditionalFormatting>
  <conditionalFormatting sqref="X103:X121">
    <cfRule type="top10" dxfId="13" priority="32" rank="10"/>
  </conditionalFormatting>
  <conditionalFormatting sqref="AP104:AP122">
    <cfRule type="aboveAverage" dxfId="12" priority="26"/>
  </conditionalFormatting>
  <conditionalFormatting sqref="AN104:AN122">
    <cfRule type="aboveAverage" dxfId="11" priority="24"/>
  </conditionalFormatting>
  <conditionalFormatting sqref="Z3:Z22">
    <cfRule type="top10" dxfId="10" priority="21" rank="10"/>
    <cfRule type="aboveAverage" dxfId="9" priority="23"/>
  </conditionalFormatting>
  <conditionalFormatting sqref="X3:X22">
    <cfRule type="aboveAverage" dxfId="8" priority="22"/>
  </conditionalFormatting>
  <conditionalFormatting sqref="AQ3:AQ22">
    <cfRule type="aboveAverage" dxfId="7" priority="17"/>
  </conditionalFormatting>
  <conditionalFormatting sqref="AO3:AO23">
    <cfRule type="aboveAverage" dxfId="6" priority="16"/>
  </conditionalFormatting>
  <conditionalFormatting sqref="AQ26:AQ41">
    <cfRule type="aboveAverage" dxfId="5" priority="13"/>
  </conditionalFormatting>
  <conditionalFormatting sqref="AO26:AO41">
    <cfRule type="aboveAverage" dxfId="4" priority="12"/>
  </conditionalFormatting>
  <conditionalFormatting sqref="AQ50:AQ73">
    <cfRule type="aboveAverage" dxfId="3" priority="9"/>
  </conditionalFormatting>
  <conditionalFormatting sqref="AO50:AO73">
    <cfRule type="aboveAverage" dxfId="2" priority="8"/>
  </conditionalFormatting>
  <conditionalFormatting sqref="AQ78:AQ89">
    <cfRule type="aboveAverage" dxfId="1" priority="2"/>
  </conditionalFormatting>
  <conditionalFormatting sqref="AO78:AO89">
    <cfRule type="aboveAverage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2022-11-16T00:13:41Z</dcterms:created>
  <dcterms:modified xsi:type="dcterms:W3CDTF">2022-11-17T20:17:59Z</dcterms:modified>
</cp:coreProperties>
</file>